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wongt\Downloads\"/>
    </mc:Choice>
  </mc:AlternateContent>
  <xr:revisionPtr revIDLastSave="0" documentId="13_ncr:1_{251F7632-85F0-4AD7-AC3C-2431CBF240A1}" xr6:coauthVersionLast="47" xr6:coauthVersionMax="47" xr10:uidLastSave="{00000000-0000-0000-0000-000000000000}"/>
  <bookViews>
    <workbookView xWindow="-108" yWindow="-108" windowWidth="23256" windowHeight="12456" firstSheet="1" activeTab="1" xr2:uid="{00000000-000D-0000-FFFF-FFFF00000000}"/>
  </bookViews>
  <sheets>
    <sheet name="V! Raw Data" sheetId="1" r:id="rId1"/>
    <sheet name="model_data" sheetId="8" r:id="rId2"/>
    <sheet name="summary stats" sheetId="7" r:id="rId3"/>
    <sheet name="shirlyn" sheetId="2" r:id="rId4"/>
    <sheet name="David" sheetId="3" r:id="rId5"/>
    <sheet name="yt" sheetId="4" r:id="rId6"/>
    <sheet name="ginnie" sheetId="5" r:id="rId7"/>
    <sheet name="Chris" sheetId="6" r:id="rId8"/>
  </sheets>
  <definedNames>
    <definedName name="_xlnm._FilterDatabase" localSheetId="4" hidden="1">David!$K$1:$K$70</definedName>
    <definedName name="_xlnm._FilterDatabase" localSheetId="1" hidden="1">model_data!$A$1:$C$180</definedName>
  </definedNames>
  <calcPr calcId="191028"/>
  <pivotCaches>
    <pivotCache cacheId="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8" i="5" l="1"/>
  <c r="D67" i="5"/>
  <c r="D66" i="5"/>
  <c r="D65" i="5"/>
  <c r="H11" i="7"/>
  <c r="J28" i="5"/>
  <c r="J15" i="6"/>
  <c r="J4" i="6"/>
  <c r="J5" i="6"/>
  <c r="J6" i="6"/>
  <c r="J7" i="6"/>
  <c r="J8" i="6"/>
  <c r="J9" i="6"/>
  <c r="J10" i="6"/>
  <c r="J11" i="6"/>
  <c r="J12" i="6"/>
  <c r="J13" i="6"/>
  <c r="J14" i="6"/>
  <c r="J16" i="6"/>
  <c r="J17" i="6"/>
  <c r="J18" i="6"/>
  <c r="J19" i="6"/>
  <c r="J20" i="6"/>
  <c r="J21" i="6"/>
  <c r="J22" i="6"/>
  <c r="J23" i="6"/>
  <c r="J24" i="6"/>
  <c r="J25" i="6"/>
  <c r="J3" i="6"/>
  <c r="J4" i="5"/>
  <c r="J5" i="5"/>
  <c r="J6" i="5"/>
  <c r="J7" i="5"/>
  <c r="J8" i="5"/>
  <c r="J10" i="5"/>
  <c r="J12" i="5"/>
  <c r="J14" i="5"/>
  <c r="J16" i="5"/>
  <c r="J18" i="5"/>
  <c r="J19" i="5"/>
  <c r="J21" i="5"/>
  <c r="J22" i="5"/>
  <c r="J24" i="5"/>
  <c r="J26" i="5"/>
  <c r="J27" i="5"/>
  <c r="J29" i="5"/>
  <c r="J30" i="5"/>
  <c r="J31" i="5"/>
  <c r="J3" i="5"/>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 i="4"/>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3" i="3"/>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5" i="2"/>
  <c r="K4" i="2"/>
  <c r="K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tc={398E36B1-FCC1-43F4-A63F-885B1E350222}</author>
    <author>tc={6BEC8A42-54D6-4198-99C3-0AF780BDEA3C}</author>
    <author>tc={6837DAC2-B256-405C-BB31-095718DB5B39}</author>
  </authors>
  <commentList>
    <comment ref="H24" authorId="0" shapeId="0" xr:uid="{398E36B1-FCC1-43F4-A63F-885B1E350222}">
      <text>
        <t xml:space="preserve">[Threaded comment]
Your version of Excel allows you to read this threaded comment; however, any edits to it will get removed if the file is opened in a newer version of Excel. Learn more: https://go.microsoft.com/fwlink/?linkid=870924
Comment:
    mab can split this into a few samples? </t>
      </text>
    </comment>
    <comment ref="H82" authorId="1" shapeId="0" xr:uid="{6BEC8A42-54D6-4198-99C3-0AF780BDEA3C}">
      <text>
        <t xml:space="preserve">[Threaded comment]
Your version of Excel allows you to read this threaded comment; however, any edits to it will get removed if the file is opened in a newer version of Excel. Learn more: https://go.microsoft.com/fwlink/?linkid=870924
Comment:
    mab can split this into a few samples? </t>
      </text>
    </comment>
    <comment ref="H83" authorId="2" shapeId="0" xr:uid="{6837DAC2-B256-405C-BB31-095718DB5B39}">
      <text>
        <t xml:space="preserve">[Threaded comment]
Your version of Excel allows you to read this threaded comment; however, any edits to it will get removed if the file is opened in a newer version of Excel. Learn more: https://go.microsoft.com/fwlink/?linkid=870924
Comment:
    mab can split this into a few samples? </t>
      </text>
    </comment>
  </commentList>
</comments>
</file>

<file path=xl/sharedStrings.xml><?xml version="1.0" encoding="utf-8"?>
<sst xmlns="http://schemas.openxmlformats.org/spreadsheetml/2006/main" count="1683" uniqueCount="667">
  <si>
    <t>id</t>
  </si>
  <si>
    <t>frequency</t>
  </si>
  <si>
    <t>bullying_recount</t>
  </si>
  <si>
    <t>Reformatted Recount</t>
  </si>
  <si>
    <t>frequency_level</t>
  </si>
  <si>
    <t>severity_level</t>
  </si>
  <si>
    <t>type_of_bullying</t>
  </si>
  <si>
    <t>Notes, Link to Post</t>
  </si>
  <si>
    <t>Secondary school. Was constantly humiliated by my form teacher of all people (I was chosen as class rep by my peers but she was never happy with anything I did). Often called me vain for trying to tie my hair properly, said I was lazy, inconsiderate and inefficient cos I never ran to classrooms early to unlock them and as a result made everyone else wait when in truth every other class also didn’t do that. One time a student accidentally left a used piece of tissue paper on the teacher’s table (it was after an event day so the classroom was used for activities etc), she was so mad and made a huge fuss about it and refused to start class until the culprit came out to admit it. Tried to intervene and apologise on behalf of the class and she just yelled at me to shut up and continued making things difficult for everyone by holding up the class and berating us the entire time. I will never forget that old bitch and I believe that a big bulk of my unresolved trauma today is all thanks to her and her behaviour. Loss of self-esteem, always believing I cannot do anything right and can’t make the right decisions etc. Been through years of therapy and I still can’t get out of this prison I’ve built for myself. I consider myself as somewhat of a hikikomori now</t>
  </si>
  <si>
    <t>Major</t>
  </si>
  <si>
    <t>Mild</t>
  </si>
  <si>
    <t>verbal bullying</t>
  </si>
  <si>
    <t>Was made fun of in primary school that my mother was not my mother. Damn bullies started spreading it around. At one point I told them I have photos of me with my mom at the hospital. I eventually found out at P6 that I was indeed adopted.Was hurt not entirely because I was adopted but because everybody else knew and I didn’t. I felt stupid.</t>
  </si>
  <si>
    <t>When I was secondary school, the guys in my class were super mean, think of those paikia type. They like to pick on the non-popular ones in class and make fun of them. I was super ugly in the past, and unfortunately also very quiet and shy. Honestly this is the worst combination of traits for bullies to choose to pick on. I was really skinny, short, and face full of acne and they like to make fun of that. They would always giggle or make laughing noises whenever I walk past or when I am just minding my own business. It also doesn’t help that I was unsociable and awkward, so I was seen as an outcast. Basically they just see me as some weirdo</t>
  </si>
  <si>
    <t>Severe</t>
  </si>
  <si>
    <t>hi i need help. i dont know what to feel honestly or what should i do. i feel like the friend group im in hates me. i have 6 people including me in my friend group. they talk and joke about each other and eat out together most of the time without inviting me ofc. only because when i ask if i could join. they do not talk to me online and only offline. they don’t really talk to me unless i talk to them. they dont text me at all or even ask to play games with me. i didn’t do anything that’s upsets them and iv been helping them a lot more than an average friend. i feel like maybe they don’t want me at all but i also don’t want to distance from them as one of my friend in the group has been with me the longest and he suddenly didn’t talk much to me because of this friend group</t>
  </si>
  <si>
    <t>Moderate</t>
  </si>
  <si>
    <t>social exclusion</t>
  </si>
  <si>
    <t>Theres a classmate sitting beside to me. He would often be mean and say really mean things like i have no dad (which is false) and would continuously say that women have no rights and would continue teasing me which lead to me feeling sad. However, i tried to laugh when I hear that so they would not think i care. But today something so bad happened- my classmate lets call him w. w told me he isnt my friend and is talking to me only for entertainment, which i fully agree and understand with- it isnt like he is my friend or if that I like him as a friend either. I was alright with that. However he continued on saying about how I do not have a dad (which i do but he is always pretending i dont and teasing me for it) and when I say it isnt true he would be like- i dun care. when i wanna state anything he would always have so many nasty comments about everything. (he said alot and i dont remember all so im only stating what i remember) he also called me stupid and said my english is bad as f**k… and I said that so is his other subjects except english. And then from there it got TENSE. (context-i copy some of his work during english class. not because i dont know how to do but because it saves time. NO, im not saying copying his work is right either which i admit is wrong to copy. ) he told me how bad i am at english. and said if it werent for him i would not be able to do my worksheets and stuff. and he continued on which i cant really remember anymore and we continued disagreeing until the very end and then like when it ended (had to go to another class and pack bags) i felt so cold on the inside. I always feel this way and has felt it alot this year, i was scared and worried. But this worried me alot- he is my table partner! He is right beside me, he could just do something to me! I talked to my friend which has helped me alot and told my form teacher. My friend helped alot but my form teacher said-he will try to change my seating arrangement and said it was only a small matter and didnt need to tell my parents as i was planning to tell my parents. I did not know what i was worried about either, i dont know at all. however, i think the likely reason is that probably i was scared he will do something but i think i may just be scared about what just happened. I cried 2x/3x because of him and i cant stop worrying now.</t>
  </si>
  <si>
    <t>i know that i didn’t do anything wrong and that they are overreacting because i haven’t spoken a word to them or texted them in over a month. not out of animosity, but because they’ve been avoiding me in the first place. the last time we spoke, we played games together all night. just the two of us. so it doesn’t make sense to me.they started ignoring me and avoiding me. then they blocked me virtually everywhere. without ever telling me what was wrong. initially when they started ignoring me, i just brushed it off because when i feel severely depressed, i habitually cut ties with everyone (only when i was still young and immature though, i’ve grown a lot so now i tell people i need space instead of straight away ghosting them), so i thought they just needed to be alone. but i guess they’ve been secretly hating me.</t>
  </si>
  <si>
    <t xml:space="preserve">i thought for a while about whether to write this post because writing it might trigger things that will further harm me but i’m really feeling lost. someone has been cyberbullying me. they either write stuff asking me to go and end my life or they borrow words from what i post and use it in their posts, taunting me. things have changed and they started sharing about their own struggles, but still using the words i use so it’s definitely quite uncomfortable knowing that the same person who asked me to go and die is still watching my moves. </t>
  </si>
  <si>
    <t>People in my main class are really mean and really dislike me a lot and I’m not talking about 1 or 2 people I’m talking majority of them and I’ve never faced this before and it just feels really toxic and I’m scared. Is there ways I can have some support?</t>
  </si>
  <si>
    <t>?</t>
  </si>
  <si>
    <t>I have a few friends from primary school, they didnt follow me to my current secondary school and i dont have friends in my secondary school. my classmates say i have a grandmother who got hit by a car (not true) and decided it was a great idea to spread it to the cohort and now everyone thinks that way. btw i got a 36/100 for my overall for my sec 2 year so i was crying for 2 hours in the classroom and again they had to spread it.</t>
  </si>
  <si>
    <t>I just went into a physical fight with my classmate yesterday just because of her consulting. (I am absolutely uncomfortable when it comes to consultation.) I don’t wish to share how the fight started. Ill just share about my feelings and perspective towards the fight. I never get involved myself into a fight. In fact, I avoid getting in trouble at all times. The fight left me a traumatic impact towards me deeply. Since im in a religious school, we wore scarves. She pulled my scarf first so as myself. She even used manipulative phrases like “you’re playing as the victim” and forced me to apologise. I apologised WAY before the fight. I am the type of person who doesn’t apologise by force, and I avoid being a people pleaser. I really don’t want to go to school because of her, yet I am looking forward to learning new knowledge and discussing interesting topics. Luckily, I am on MC today and tomorrow as my right ankle from both sides are terribly swollen. It was terrible which caused to go to the hospital to put on a cast and use clutches. However, the rest day gave me sometime to calm myself down after the fearful incident.</t>
  </si>
  <si>
    <t>physical assault, verbal bullying</t>
  </si>
  <si>
    <t>I just joined this school last april, and had a hard time at first, i sat alone in the bathroom and had no friends, but then after summer break i came back and became really close with this girl, we’ll call her N and N was great. but we were lonley, it was just the two of us. so i made the inititave after tons and tons of effort i talked some friends of letting me into a friendgroup,but when i asked for her, they hesitated at first but i convinced them, when were in the group, me and N got into a bunch of fights and All the other people in the group were always on my side. and it was always bad for her. but we stopped fighting after a while and decided that we were gonna just be okay with each other. then something happend. i kissed a dude and its okay, but i was freaking out about it to N and D, D is my friend who i got really close to in the group over the break, but anyway. N and D left the call and started calling eachother privately. and they came back and i asked them ‘hello im freaking out here why would you leave and call eachother probably ■■■■ talking me’ and they send im self centered and manipulatve. and after ignoring me for 2 days straight D apologised and me and N didnt fix stuff but were still okay. Then it was L’s birthday party, (another friend) N and some other girls and I decided to have a sleepover, but N pulled aside one of thes girls and said that i cant come, so they kicked me out. AND THEN N told L that i went through her closet so i had to sort that out. so i did, and the next week, all of them started ignorning me and N especially. and N blocked me off everywhere and started hanging out with the popular girls and basically kicking me out of the friend group I GOT HER IN. And now im lonley. i have no one to eat lunch with and spend my lunchtime in the office. its rather embarrasing. Im thinking of changing schools.</t>
  </si>
  <si>
    <t>verbal bullying, social exclusion</t>
  </si>
  <si>
    <t> I was bullied back in secondary school, because of my weight. There was another guy with the same name as me, and I’m referred to as the ugly version. Got called ugly, gay boy, big foot. Got teased at in the classroom but the teachers didn’t do nothing. One of my guy friends went into my phone and found some of my personal stuffs ( myself singing) and started circulating it around the school. Bluetooth was a thing back then so everyone has a recording of it and played it whenever I walked past. Got kicked at the stomach by a group of Malay kids just because I defended myself during the bullying. Because of that incident and that experience, I became quiet and reserve and I’m afraid of talking to anyone.</t>
  </si>
  <si>
    <t>verbal bullying, physical assault, social exclusion</t>
  </si>
  <si>
    <t>People formed gangs and called me smelly, stinky, black and whatnot. Making fun of me was a jolly pass time for them. I even got pinched and beaten up few times. No one wanted to partner with me in any school activities and if the teacher assigned a random person, said random person made fun of me and everyone else made fun of him/her too. I used to just walk around alone in school trying to avoid those who bullied me. Even outside school, I was scared of running into my classmates around the neighbourhood. I used to cry everyday after school. </t>
  </si>
  <si>
    <t>In primary school, I got targeted by 2-3 people where my stationaries got stolen on a regular basis, my school shoes got thrown into the dustbin, I got pushed a lot of times and one of the bullies actively try to expose me for playing truancy when I am not in school (even resorted to going to my house and shouting "[my name] is a master of truancy by skipping school all the time". There was this time where my grandfather passed away (my mom spoke to my teacher to excuse me for a few days from school which my teacher obliged) and when I returned back to school, this guy approached me and said, "Dont pretend that your grandfather is dead, you only used that excuse to skip school as usual".</t>
  </si>
  <si>
    <t xml:space="preserve">Major </t>
  </si>
  <si>
    <t>verbal bullying, physical harm</t>
  </si>
  <si>
    <t>Secondary school, i was cyberbullied (ALSO LOL) and was called ugly bcos i had really bad teeth. The girl who cyberbullied me told me she’d bring her “gang” down and all too but eventually she didnt because its all fake. It was all some random fake account that my friends were “friends” on Facebook with too, hating on me for no reason. Crazy.</t>
  </si>
  <si>
    <t>I was really stupid, so I easily got ignored, got lied and gaslighted for my money (because I got slightly more pocket money). During P6, my “friend” would occasionally threaten something and I’ll be so afraid because I thought my parents would get involved.</t>
  </si>
  <si>
    <t>verbal bullying, extortion</t>
  </si>
  <si>
    <t>I was also singled out very often in sec sch, almost to the point I cried to bed with fear and that alerted my parents.......I was shy &amp; wasn't good looking (IMO), wore specs (who look like a nerd back then) so I get picked on frequently that the bullies would take my money from my wallet during recess time so I would sometimes only drink water from water cooler or just sit somewhere that has fewer people. I wasn't close to anyone back in sec sch, only needed them to not feel looked down on others so I hadn't contacted them ever since and I don't look forward to........I had an unsupportive father (who just keeps calling me useless and be like a man stop crying &amp; a soft-hearted mother (who just ask me to sit further from the bullies and listen to my father), I grew up with very low self-esteem &amp; confidence and tend to criticize myself first when things go bad........because I also had to tuck in my shirt due to sch rules, even the girls in my school looked down on me like talking to me with hostility &amp; despise or helping the bullies to bully me too (snatching my pencil case, bag, water bottle, textbook etc.) and that was only in Lower Sec</t>
  </si>
  <si>
    <t>Was in a CCA (ncc) that has a lot of paikia, they think im weak (skimny, short and smol is a horrible combo). it was mainly two types, being ostracised and looked dowm upon by the express group. (im in NA). Its the sort of disgusting look they have and harping on your mistakes and they try to use rank lol. Freaking annoying. Another type is by NT malay gang (them only, not all malays no offense. ) who likes to think they are above all, verbal bullying (calling names, shouting your name to humiliate u and get your attention) light physical bullying such as pinching n twisting my nipples, hitiing head, shooting objects at me, taking my stuff, luckily never got to extreme beatings...</t>
  </si>
  <si>
    <t>verbal bullying, physical harm, social exclusion</t>
  </si>
  <si>
    <t>It all started in P3, where for almost one whole year, I was so-called ¨pranked¨ by some of the guys in my class that I was disturbing them when it was the other way round. For example, one of them would either kick me or flick the back of my head and when I ask them to stop (loudly, might I add), they quickly told my form teacher that I was the one who did it. I assume my form teacher was the gullible kind because she ended up believing them. They would even steal my stationary and claim that it is theirs. To this day, I have yet to regain possession of my lost stationary. A few times, they even randomly told my form teacher that I whispered vulgarities even though I never did (like wth). This absolutely affected my life because my form teacher would then call my parents and I ended up getting disciplined even though I never did. I dreaded school every single day. My parents thought of me as a bad son. Until one day, one of my other classmates, who witnessed the bullies talking about their ¨joke¨, decided to inform my form teacher. It was only then she realised how severe the misunderstanding became. She did apologised, though I didn´t blame her for believing those bullies´ words. We even got called to the principal´s office, where, in my own eyes, the bullies were yelled at by the principal. I think even the main bully, Rough (nickname), got caned after the principal sent us off first. I thought it was all over, until primary 6, I got targeted again. People called me ¨autistic¨, LKY, and always try to exclude me from my other classmates. They even tried doing weird things like sticking out their hands to grope me in the toilet cubicles (i strategically managed to climb up onto the toilet bowl and when it struck again I used my full strength and stepped on his arm, never felt bad about it). Once, I was almost pushed down the stairs by another bully called Goh (nickname). I had forgotten what else happened but these were one of the worst things that happened to me.</t>
  </si>
  <si>
    <t>verbal bullying, physical harm, sexual assault</t>
  </si>
  <si>
    <t xml:space="preserve">As you can read from the title, I am a victim of bullying in school. I also want to apologise in advance if I sound insensitive in my post, believe me that is not my intention. The bullying I’m experiencing in school right now isn’t all that serious, currently it’s only name calling and social exclusion but it still hurts. It feels so pathetic for me to feel hurt by just simple words of hate coming from my peers because I lack the confidence to stand up for myself. No matter how much I want to confront these bullies, I know damn well that I’d stutter as I’m not very good at articulating my thoughts. I desperately want to seek help and put a stop to this because it has affected my daily life. I can’t put my phone down and go to sleep because I am afraid that the moment I lay down and try to fall asleep, I would start to think about the bullying and how much it hurts me. </t>
  </si>
  <si>
    <t>During the morning assembly, when girls would have to sit together in a line. Whenever I sat there, those popular girls would whisper ‘Eeeeewwwww, I don’t want to sit next to that cancerous girl’ ‘ewwwwww (my name)’ ‘Gwen sit next to her instead, not me.’ They would make it obvious by standing awkwardly in a group, avoiding me like a plague. Another girl would sit next to me and then the popular clique will sit down.</t>
  </si>
  <si>
    <t>Low</t>
  </si>
  <si>
    <t>subtle bullying (social exclusion)</t>
  </si>
  <si>
    <t>During my secondary school days in a pai kia school, I was constantly bullies by many people in class. Back then no WhatsApp, only got Facebook. They created a fake profile of me and groups to plan how to attack me. I know cos I overheard them talking about it. They would take my recess money and I'd have nothing to eat. When I came back from toilet, my pencil case contents would be emptied to the floor. They would randomly fondle and kick my balls (sounds gay, sorry). I reported it to the school counsellor and guess what she said? To take a longer route to the bus stop that was more public. My usual route took me below a HDB flat where I didn't feel safe. I had to ensure this for 4 long years. I don't know why but I didn't tell my parents or anyone else about what I was going through.</t>
  </si>
  <si>
    <t xml:space="preserve">High </t>
  </si>
  <si>
    <t>physical assault/theft</t>
  </si>
  <si>
    <t>It started with "anonymous" taunts on Tellonym. At first, I tried to ignore it, but then it just became a constant stream of being called a "slut," "bitch," and "idiot." Now they’re literally sending me messages telling me to kill myself. I thought it would stay online, but it’s spilling into real life. Someone threw something at my face the other day and actually drew blood. I’m honestly terrified to even check my phone anymore. Has anyone else dealt with Tellonym trolls turning into physical stalkers?</t>
  </si>
  <si>
    <t>High</t>
  </si>
  <si>
    <t>cyberbullying/physical violence</t>
  </si>
  <si>
    <t>https://www.reddit.com/r/singapore/comments/keyiiq/sporean_13_overdosed_on_painkillers_after_school/</t>
  </si>
  <si>
    <t>After repeated questioning, she revealed that for almost six months she had been persistently bullied by three boys in her class: insults, mocking, shoving, damaging her stationery, and erasing her homework. She had also been subjected to repeated racial slurs and severe verbal abuse, including: “nigger”, “shut up”, “f*ck you”, “dumb ass”, “shit”, “qi bai”, “stupid”, “bitch”, “shut up at your family’s grave”. The immediate incident on 24 July occurred when my daughter reminded a classmate to be quiet during the lesson, after which she was physically assaulted by two classmates.</t>
  </si>
  <si>
    <t>verbal bullying, physical assault</t>
  </si>
  <si>
    <t>I remember back in primary four , there was this special-needs girl in my class. All of my classmates were really assholes to her. They ostracized her , say means things in her face and some of the boys would physically push her.</t>
  </si>
  <si>
    <t>medium</t>
  </si>
  <si>
    <t>social exclusion, verbal bullying</t>
  </si>
  <si>
    <t>You have threatened to physically assault us, touch us and harm our beloved family members. You have even gone into comprehensive detail about how you would like to sexually assault us. Did chasing one of us outside of school make you happy? Did you enjoy seeing her hysterical, crying out of sheer fear that something terrible was going to happen to her? She made up baseless rumours and turned many of our friends against us. But apparently, it was not enough for her. It was then she had the bright idea of sending her boyfriend and his gang of friends after us. We suffered for weeks at the hands of these guys.</t>
  </si>
  <si>
    <t>Physical threats/ sexual harrassment</t>
  </si>
  <si>
    <t>I remember in primary school, some kid in class thought it was funny to spread some rumour about me, which caused everyone to “unfriend” me. If you were caught talking to me, you will be the next victim, so nobody dared to even come close to me. Tried voicing out to the teacher, but he brushed it off because it was basically not his responsibility. Was so depressed that I hated school so much and kept telling my family that I wasn’t feeling well.</t>
  </si>
  <si>
    <t>Medium</t>
  </si>
  <si>
    <t>I used to get fat shamed back in S1 or so, back then I was kinda overweight and basically everyone avoided me just because of that, and people would just post shit about me on facebook calling me fat and whatsoever (back then), and that basically resulted in me purposely starving myself or purging after eating. It was only until 15 that my mum heard me ‘vomiting’ in the toilet and came in, and I was diagnosed with bulimia afterwards.</t>
  </si>
  <si>
    <t>cyberbullying/ social exclusion</t>
  </si>
  <si>
    <t>In primary 6, there was this girl who was considered the bully of the class. She would bully different people differently, she would fat shame the bigger girls in class, she would physically bully the quieter girls, with me she would take my homework to copy. So one day, I had enough, I photocopied my worksheet and I answered the answers really stupidly and gave it to her to copy. She got the entire worksheet wrong... During recess she slapped me and called me a bitch, I proceeded to take that photocopied worksheet to my teacher and tell her that the girl has been copying my work and that is evidence of her copying my homework. Next day, the teacher called her parents down to school and her parents scolded her in front of the class.</t>
  </si>
  <si>
    <t>Low/Medium</t>
  </si>
  <si>
    <t>verbal and physical bullying</t>
  </si>
  <si>
    <t>I've had people tear up my textbooks when I was in primary school because I was the only non-chinese in our ''table group''. Didn't help that I was extremely overweight back then and had a really foreign accent.</t>
  </si>
  <si>
    <t>I think it got way worse in secondary school though, in s1 itself my 2 friends and I were bullied by our classmates. They left horrible notes in our bags, telling us to go die and all that, vandalise the class photo at the back of the classroom (eg. Using pins to poke our faces) and throw all sorts of names at us. </t>
  </si>
  <si>
    <t xml:space="preserve">
I had the same experience as well in primary school. Moreover, I had my worksheets purposely stepped on before I got them. Also, some mischievous ones would take my pencil case, unzipped it and let the stationeries drop on the floor. P.S. RIP my broken correction tapes, if anyone know how fragile the plastic casing was. Needed a replacement every week for the worst cases.</t>
  </si>
  <si>
    <t>Was cycling alone along the Green Corridor one night and was reminising the good old days I had in my sec school. Have a bunch of close friends that used to play soccer every weekend. Out of the blue, the thought of me being bullied in my Sec 1 days resurfaced as well. I was a timid (and introvert) person and spent my entire Sec 1 days alone without any friend. Not sure was it due to my timid nature, I was bullied frequently by a particular guy. He would hurl vulgarities at me for no reason. When the teacher returned our assignment (or books), he would threw it at me. Some other classmates would laugh along and teased me as well. Didn't tell my parents about all these incidents. Almost wanted to quit school at that point of time.</t>
  </si>
  <si>
    <t>severe</t>
  </si>
  <si>
    <t>moderate</t>
  </si>
  <si>
    <t>https://www.reddit.com/r/SingaporeRaw/comments/1d29c1l/bullying_i_was_a_victim_previously/</t>
  </si>
  <si>
    <t>No, bullying had always been pretty serious. I was quite badly bullied in school like 20 odd years back. I was quiet, very small sized (short, thin, with small bone structure), an obedient girl with a single parent who didn't care about me and so was an easy target by a pair of male and female bullies and their lackeys. I was outcasted in my entire class of 40 students who acted as if I was invisible, as if there was no bullying ongoing. The bullies called me names, verbally abused me, shot rubber bands at me, defaced my desk in school every day and more. On occasion they would do things like put stinkbombs in my bag, use markers to draw on my school uniform, pull my ponytail. All because the female bully's crush was interested in me (I was told years later by an ex-friend/classmate who actually played a part in how the bullying started) and the male bully had the hots for the female bully and went along with whatever she wanted.</t>
  </si>
  <si>
    <t>major</t>
  </si>
  <si>
    <t>verbal bullying, intimidation, social exclusion</t>
  </si>
  <si>
    <t>https://www.reddit.com/r/askSingapore/comments/1onzzhj/is_it_just_me_or_is_bullying_more_serious_now/</t>
  </si>
  <si>
    <t>when i was in pri sch there were two boys in my class being physically bullied (also bullied verbally too, they get punched in the stomach) and in sec sch there were lots of choking “game” going on. i was never physically bullied but bullied verbally from pri till sec 2 (i physically retaliated then it eventually stopped).</t>
  </si>
  <si>
    <t>was a victim of bullying in pri school. it started with verbal abuse which i ignored, but it slowly turned into physical bullying. i used to hold a grudge and never really forgave him but overtime as i got older, i eventually got over it.</t>
  </si>
  <si>
    <t>https://www.reddit.com/r/askSingapore/comments/1gul7a2/people_who_got_bullied_during_school_days_where/</t>
  </si>
  <si>
    <t>There was a girl who verbally bullied me in secondary school, by making fun of my name etc. Nothing too extreme but was still unpleasant and I never liked her because I felt she was plain rude.</t>
  </si>
  <si>
    <t>mild</t>
  </si>
  <si>
    <t>I was a fat kid in a neighbourhood secondary school and got bullied by 4 students from other classes, mostly verbal but sometimes throwing things at me. It was fine in sec 1-2 since I had my friends I was always with and we would brush it off.
In sec 3-4 when we all split up, I understood that I had to stand up for myself if something happened again. Of course things happened, but something I realised was that all they were trying to do is find humor in ridiculing someone which was me in that case. I gradually started to give them the attention they wanted and instead of them laughing at me, I was laughing with them. It was no longer "fun" for them at some point so it started happening less and less.</t>
  </si>
  <si>
    <t>Also had one dude who bullied me from primary to secondary school and was the only one like that cause unfortunately we ended up in the same school and class. Think he had a crush on me and couldn't accept it so he tried very badly to hurt/embarrass me - it started since the day we had music class tgt in pri sch and did a staring contest. In sec sch I was close to a group of guys who love to make jokes about sx and I had a lot of fun laughing along with them and listening to stories and experiences (usually that of other friends or in porn not so much personal lol- we were like 13/14) anyway one day this ashole decided to make a comment to everyone about how I wasn't a virgin cause I was good friends with the guys in class and always laughing along. How I probably had a loose puss or whatever. It wasn't funny. I was hurt. I got angry. Later on in our basketball session he even pushed me to the floor. I was only lucky enough our same group of guy friends actually bothered to stand up for me in some way (didn't hurt him but at least told him off and told him to back off or try to change subject and actually ask me to ignore him/help me up etc) he also took my first photo from Instagram and spread it around class making fun of my face tryna "act cute" he said.</t>
  </si>
  <si>
    <t>Lol, I remember being in sec 2 and there was ex stead I had. (Yes I’m born in the 80s…) He was a guy that another Ah Lian was mesmerized with. This Ah Lian got a huge bunch of peeps to wait for me after school to scare me to break up with the guy which I did lah…</t>
  </si>
  <si>
    <t>intimidation</t>
  </si>
  <si>
    <t>I had one but tbh I half deserved it because I'm an "I told you so" guy.
Guy was a gangster in sec school, we started on the wrong foot cause he grabbed me by the collar telling me to see him outside school and I instantly went to tell the teachers (our DMs were all police officers). Boy he hated me, he'd throw food on me and I'd just tell him "you'll be doing CWO soon because you're dumb", when he did CWO I'd say it to him like "look who's headed for a world without a future"
He'd see me in the bus and spit or throw bottles on the back of my head, tried to punch me multiple times and ended up clocking my friend on the jaw, told him if he kept this up he's on track to prison.</t>
  </si>
  <si>
    <t>intimidation, physical bullying</t>
  </si>
  <si>
    <t>I was bullied from Pri 1 to early P4. Used to just get punched randomly in between classes and my dumb ass little self wanting to join in with the playful kids ended up being used as practice for WWF finishers and such.
That promptly stopped once I joined the rugby team. Think I partially wasn't too traumatised - if it was in secondary school and being a little more cognitively aware, I may be more affected.</t>
  </si>
  <si>
    <t>physical bullying</t>
  </si>
  <si>
    <t>1 of them went on to bully more girls after she bullied me in Primary 6. She hated me because her current bestie who was my ex-bestie, grew closer to me again when we ended up back in the same class. What she did to me broke my confidence, and I had to deal with social anxiety as well as a whole lot of emotional turbulence in the subsequent years because of what she did to me. Originally, my naive teenage brain thought that the issue was with me, because I was painfully shy and awkward.</t>
  </si>
  <si>
    <t>Used to be severely bullied in pri sch and sec sch because I don't look very manly as a guy(I have larger eyes, long eyelashes which people used to call me gay). Pri sch bullies mostly, they stopped after PSLE, I don't really know how they're doing now, since they don't really update on FB.</t>
  </si>
  <si>
    <t>physical bullying, verbal bullying</t>
  </si>
  <si>
    <t>My bully instigated others in my group to join him in verbally bullying and “jokingly” putting me down in school. It made leading the group more stressful and toxic than it should have been. Never received any apologies and years later he fancied himself philosophical and wise enough to start an anti-bullying podcast and advocacy group. He also does “life lessons” type of coaching.</t>
  </si>
  <si>
    <t>I was bullied literally every single day from year 7-9 (12-14 years old) by people my age and older than me. Made fun of for being fat mostly but that was just because I didn’t take shit from anyone they found a reason to target me. My immediate reaction was to fight them, in which I physically ragdolled them all except for a year 11 rugby player who punched me in the face for standing up to him.</t>
  </si>
  <si>
    <t>used to be friends until it turned sooo bitter. she picked and laughed at me for no reason in ite, when i asked her what's her problem she just said nothing and ran away and continued doing it to me. played the pity card to say i bullied her when in fact it was just a miscom and managed to get everyone to side her. took the role of a bigger person and apologised but she again, ignored, run away. then suay suay, same class again in poly, she did the exact same thing to this other girl (+ bully was kinda racist) and the whole class pretty much dislikes her except her boyfriend.</t>
  </si>
  <si>
    <t>I was a chubster back in pri sch and was picked on by some guys. I'm a girl so maybe the bullying isn't as violent. But there were some naughty kids who would do stuff such as bang my desk or kick my bag. I became friends with a few other chubby female girls and we formed a clique.</t>
  </si>
  <si>
    <t>https://www.reddit.com/r/SingaporeRaw/comments/1ivyvp9/singapore_school_bullying/</t>
  </si>
  <si>
    <t>my son was not just being bullied! He was assaulted! The video that has been circulating around is just part 2 of the entire incident. Prior to this, he was strangled and beaten by few other boys along the stairway in school. The perpetrators apparently didn’t let go and that’s video that you all have seen. I have attached photos of the strangled marks on his neck.</t>
  </si>
  <si>
    <t>physical assault</t>
  </si>
  <si>
    <t>https://www.reddit.com/r/SingaporeRaw/comments/1iwqp6k/mother_speaks_out_on_sons_bullying_on_montfort/</t>
  </si>
  <si>
    <t>Back when i was in pri school, when a group of bullies assaulted my classmates, breaking his leg, the entire class went to confront them, a whole 20 to 40 people surrounding 3 people during recess and let them know not to bully our friend. When i was in jc, someone stole our classmates property, the entire class also went to find the one boy.</t>
  </si>
  <si>
    <t>physical assault, theft</t>
  </si>
  <si>
    <t>I was easily picked on as I am small sized and am a bit of an introvert. The difference is that my narcissist mom refused to believe this was happening and thought I was getting into fights and cooking up excuses to not want to go to school - I got caned further instead at home - insult to injury, or in this case, more injury added to injury. Teachers also kept quiet for whatever reason - I realize that this could be because some bullies have influential parents. This was before social media became huge and if you think there is no recourse now, the situation was worse back then - 0 recourse on anything. Teachers were also not doing anything, and it is truly a terrible thing, a total nightmare where you dread going to school and hate it more than anything. I was suicidal and hated going to school back then because I was defenseless and the people of authority (school, parents etc.) who were supposed to protect the weak, didn't care.</t>
  </si>
  <si>
    <t>physical assault, social exclusion</t>
  </si>
  <si>
    <t>These were the typical bullies in the class, constantly seeking attention and targeting anyone who couldn’t defend themselves. They would show off their supposed skills, claiming to be gym enthusiasts or practicing Muay Thai. They’d push me (and others) and taunt, “Come lah, fight lah,” while striking Muay Thai stances. They’d threaten, “Let’s settle this outside,” or boast about their weapons: “You never see my parang or samurai yet.”</t>
  </si>
  <si>
    <t>physical assault, intimidation</t>
  </si>
  <si>
    <t>https://www.reddit.com/r/SingaporeRaw/comments/1hyn5vo/endured_bullying_in_ite_while_unable_to_trust_the/</t>
  </si>
  <si>
    <t>Some individuals from other racial groups made my life equally difficult. They’d laugh at me while speaking in languages I didn’t understand, making it clear I was the subject of their jokes. Occasionally, they’d walk up to me, hit me, or put things on me, laughing it off with, “Eh brother, joke only lah, why so serious?” They’d gang up and warn, “Don’t tell Mr. X, or we’ll make it worse for you.” Sometimes they’d get close, ask personal or weird questions, spread my answers to the entire class, and mock me loudly, saying, “Macam this guy! Hahaha.”</t>
  </si>
  <si>
    <t>I am writing here again, exhausted, helpless and depressed to update on my situation. Before that, I want to share a little bit of my side personal story.
I was born into a conservative Christian family. Growing up, my parents would unfailingly care more about the Bible than their own children. As a little kid, my parents often invited devout pastors to our home, where I was indoctrinated constantly about Christian morals. I was taught by the pastors, at home, at church, that I only live to serve God, being stripped of any personal opinion or statement. I was always told that the idea of homosexuality is wrong in itself, and I was brought up in an extremely homophobic environment. I was always sent to Christian schools by my parents. However, as I grew older, I gradually found out about my sexuality, and I was sure that it was an indispensable part of me as a human being.
I once innocently thought that I would be fine staying closeted and pretending to be “normal”, at least not until I was enrolled into SJI. As previously mentioned, I was constantly bullied mentally and physically for appearing feminine and what the students perceive as “gay”.
I never dared to speak up, or in other words, I don’t think I had a right to. Public schools in Singapore are notoriously known for outing students to their parents if they suspect any signs. So sadly, I cannot tell anyone in school about this as they would out me to my parents, which I believe my parents will readily disown me, or in the least sense, bring me to “conversion therapy”.
That’s why, I endured it all. Three years of mental torture. Three years of microaggression. Three years of physical bullying. It was not until I was sexually harassed by a student that I shared about my story to Reddit, it was the last straw for me. I cannot envision myself being in this school environment any further. I just wanted to share about my story, to stick up for myself once, never expecting anything….As the post went more viral, I was told to talk about it with the school, however I do not dare to as for the fatal risk of being outed to my family….
However, I never expected this reaction from the school teachers. I thought that they in the least sense would have some sympathy spared for a student. But I was told by a school alumni that THE SCHOOL ADMIN HAS MADE A POLICE REPORT AGAINST MY POST AS THEY THOUGHT IT WAS A TROLL POST AND IT MAY RUIN THE SCHOOL REPUTATION. The alumni urged me to take down my post, and some other students claimed to be from SJI kept attacking me on Reddit message. Almost everyone took this lightly as they thought it was not factual to begin with. I crashed down, collapsing. For months I came to school with fear in my heart. I don’t know what the school may even do if they know it was me who wrote the post. I am just frightened. This has taken a severe toll on my mental and physical health. I starved myself for days, drowning in an existential crisis of life. I didnt even know what to do with life anymore. I didnt dare to talk to anyone openly about my situation, keep bottling up these frightened feelings to me. I kept making up excuses to my family to be absent from school, as it was a hellhole for me.
Eventually, I chose to act tough and kept going to school as usual. As expected, these casual bullying never stopped, even for once. For months I came to school, numb and exhausted . I just dragged myself through the repetitive days here. I just wanted to end the schoolyear and tried to think of what to do next during the holidays.
I have talked to my parents about transferring school, however they firmly refused and asked for my reasons, which I could not make up any……….they have no hell of an idea what i have to go thru every single day at school, yet they can recite the bible almost accurately. I am just so so exhausted and dint even know what to do with my life anymore. Sometimes I wish that I had not been born. Right now im just hopeless and the trauma from school bullying kept haunting me even during the holidays….
Should I keep continuing enduring it all, waiting for a miracle….</t>
  </si>
  <si>
    <t>high</t>
  </si>
  <si>
    <t>https://www.reddit.com/r/SGExams/comments/1hjljs2/update_sji_homophobic_bullying_and_marginalisation/</t>
  </si>
  <si>
    <t>Hi guys. I'm a Sec 3 guy currently studying at SJI. My experience at this school has been nothing short of hellish.
I know Reddit is not the best way to share my feelings. But I have no other choices. Fyi, I'm from the LGBT community. And here people treat me like garbage.
Since coming to this school, I've learnt that people use the word 'gay' as an insult. I am not too flamboyant or shit but students here keep attacking me, both verbally and physically. I know that this is a Christian school with its own take on this matter, but it's not like i spread my ideas or force people to support me whatsoever. I just want them to leave me fucking alone. It's also ironic to see their hypocrisy - they try to use the name of God to justify bullying me while they show all sorts of other sins - lie, sloth, etc.
Since coming to this school, I was added to a group chat. Here, all shit happened. Even though I tried to ignore them, my racing heart couldn't. Every single day they tagged my name and said I'm going to hell because people like me are never accepted. They also said that I'm cursed to be like this and told me to stop pretending and be normal. They used all kinds of swears and slurs imaginable to call me names.
Since coming to this school, I become aware that there are types of ppl who're gonna throw shit on ur face even if u don't do anything. Every day coming to school feels like the weight of the world just came crashing down on me. They don't just cyberbully me. At school, the usual comments start almost immediately upon seeing my face. All the 'worse than animals, scum of the earth, mistake of God' are thrown on me. I FUCKIN TRY TO IGNORE IT.
One day someone "accidentally" knocked the books off my table. While I was picking them up, the group of students continued to insult me. They even kicked me and tried to take my pants off. They said they want to "examine" my gender. The worst thing is I feel like the teacher "give-a-fucks" are on vacation or they js pretend not to see it. I can't even try to bring this matter up to the teachers because I feel like theyre just gonna refer me to counseling or call my parents.
During recess, I always try to keep to myself. But as usual it just does not help. Time and again a group of boys mock the way I walk, call me names again. I feel heavy in my heart, but I just clench my fist and walk away. I don't fuckin want to give them the satisfaction of seeing me break down.
I still remember that one particular day when a guy saw me in the restroom and he tried to show his c*ck to me. I said that I'm uncomfortable but he kept harrassing me and told me to stop pretending. He said to me " U faggot clearly dream of this. Go suck my cock and stop pretending". Other ppl around just laughed and mocked me. I burst into tears and hid inside the restroom almost until school ended.
By the time school ends, I am always exhausted-physically, mentally and emotionally. It’s like no matter what I do, it’s never enough. I just want to be myself without having to constantly defend who I am. But every day feels like a battle, and I’m so, so tired.
Every night I lay in bed, staring at the ceiling, crying and wondering how much longer I can keep going like this. I feel trapped, and it’s hard to see any light at the end of the tunnel. I just want to be accepted for who I am, but right now, that feels like an impossible dream.
Sometimes I dream of peace and freedom, but I feel like in this society it is never for me.</t>
  </si>
  <si>
    <t>https://www.reddit.com/r/SGExams/comments/1f5ubce/sji_my_experience_and_struggle_with_rampant/</t>
  </si>
  <si>
    <t>For context i’m currently a 17M living in Singapore. I have endured relentless bullying from classmates when i was in secondary school (graduated last year), n some teachers there wouldn’t help anything but only cause more problems by siding with the aggressors. For privacy reasons I'm NOT going to disclose which secondary school I was from, and I'm going to censor the names of the perpetrators n any shitty biased teachers.
So first off in sec 1 right after the year end exams, our scripts were handed back to us. We were marking exam papers checking marks. Typical rite? Then out of curiosity i decided to peek at someone else’s paper (ITS NOT DURING EXAM OKAY IM NOT CHEATING) bcoz i was just curious about how well other ppl scored. Later rite, this guy (I'll call him A) go and approached me aggressively. U know what he did? He TOOK A LONG IRON BAR (the one used to lock the classrooom cabinet ig) and threatened me with it. I responded by grabbing the soap wipe down bottle (coz it was Covid back then, 2021) in order to try to defend myself by spraying the soap water at him bcoz i felt threatened by A(failed miserably). AND U KNOW WHAT A DID? A CHARGED N THEN STRANGLED ME VIOLENTLY. I almost couldn’t breathe n I couldn’t fight back n the fight got violent. Eventually some classmates shout “STOP STOP” and it caused lots of chaos in the classroom (quite some tables were pushed out of place). Eventually the violence stopped n both of us were asked to see the discipline teacher. Both of us had to write reflection letters. N u know what? The following week (coz it was Friday on that day), what did the form teacher do? Just ask him apologise to me. Thats it. (FYI Discipline teacher called A’s parents on the spot, on that day of the incident itself). No suspension. No expulsion. Just simple apology. Outrageous right?
And then in sec 2, there was this guy (call him B). Okay the first incident in sec 2 didnt have anything to do with me but it was SUPER UTTERLY DISTURBING. So the class monitor reminded B to like follow some instructions or what but B got like SUPER DAMN ENRAGED over the smallest bits of matter n u know what he did? B FUCKING PUNCHED the class monitor at the corridor right outside our classroom in full view of the cctv camera. After that i think someone (likely the class monitor himself n his close peers) reported B to the discipline teacher. B got suspended for 2 days as a result.
Whats more infuriating is the 2nd incident in sec 2, this time involving me. Okay so right, we have 4 people in our literature group including me, doing a literature project. So these 2 guys, one of them I would call Q, and the other is still B, they keep on sending like thousands n thousands of very derogatory n insulting messages over the span of only a few hours. I screenshotted all of them (mind u it took LONG TIME to screenshot every single bit of thing) and I reported it to the discipline teacher. The discipline teacher scolded those 2 guys harshly, and guess what? Okay, tbf i was also partially at fault since i didnt do my full part in the group project. Then, the discipline teacher asked the 2 guys to apologise to me (n i did so in return as well). All is good right? Well no, because... B kept on harassing me verbally especially in class n im so sick n tired of his insults. Whats SUPER OUTRAGEOUS was that the cyberbullying incident involving me happened AFTER HE WAS SUSPENDED 2 DAYS FOR PUNCHING A CLASS MONITOR. So after sec 2 ended i thought all was good coz we had subject streaming so we would reshuffle classes the following year in sec 3. All is good right? Well, NO AND NO AND NO.
So here came 2023, sec 3. Everything seemed rosy at first, the bullies (especially B and Q) from my lower sec class being separated in different class from me. But then things took sudden downturn. This history teacher, call her Ms. C, she can't even teach properly so i vented to classmates. Well too bad, because word of mouth spread and someone REPORTED ME FOR FUCKING DEFAMING THE TEACHER??? WHAT DID I DO TO DEFAME HERRR?! HUHHH? Then Ms. C dragged me to the principal’s office n forced me to write some stupid reflection letter. Then something more outrageous happened: Ms C KICKED ME OUT OF HER CLASS N TRANSFERRED ME TO ANOTHER HISTORY CLASS. Mind u this took place in April. So ever since this incident blew up across the whole cohort many ppl have been making fun of me n harassing me verbally plus excluding me socially like all the time, especially ppl in my class. This was also kinda made worse by my form teacher (not going to disclose name) and Ms. C herself. Forgot to mention that in July Ms. C ironically READMITTED ME BACK TO HER CLASS. Wow the fricking HYPOCRISY. Yeah n because of all the persistent verbal harassment i became very afraid to use the school toilets since ppl in there r always doing shit like fighting n whatnot so i try to drink less water n also i try to time my toilet breaks when ppl r not around (also by observing the movement timing patterns of the ppl who bully me the most) just to avoid getting hassled unnecessarily. Yeah 2023 was really really damn bad i almost wanted to commit suicide (but ofc i didn’t if not why would i be alive here writing this post LOL)
In 2024 karma struck for B. You know what happened? I promoted to sec 4 like most other ppl did. But then, B got held back in sec 3!!! I think it was because B was so focused on causing tons of shit trouble in his class n probably around school that he failed many subjects dats why he got held back. He honestly deserved it. Tbh because of all the depression n anxiety due to all this shit I flunked school in early 2024 for literally a whole month. But after some support with some sort of counsellor, and especially the O-levels impending in only months I finally did manage to muster the courage to go back to school, but it was A HUGE STRUGGLE in early sec 4. I woke up to reality and worked my ass off on all my subjects (luckily most were still quite strong especially my maths n sciences). In the end I got quite well results for o levels, A grades for my mathematics n pure sciences subjects though I still got C’s and D’s for my English and humanities. I graduated super damn happily from my secondary school and advanced on to a junior college, meanwhile B is still stuck in the trap he created for himself. KARMA AT ITS BEST.
A bit of add-on info: despite all this bullying shit happening throughout secondary school, I CONSISTENTLY scored A-grades in my mathematics and sciences subjects throughout the 4 whole years (which led to jealousy from classmates but I DIDNT GIVE A SHIT). And yes, my English was consistently borderline pass n my history is always fail but history isn’t really important for my back then goal of aiming for junior college science stream (WHICH I SUCCESSFULLY GOT IN IN EARLY 2025). Never once have my grades slipped too significantly, and any dips were recovered quickly with work.
Fast forward to now, im doing pretty decently in junior college (science stream) despite the big difficulty jump in subjects n the depth of content covered. Meanwhile B is probably already taking his o levels (he's one year behind me academically) but atp i don't give a fuck what those bullies were doing n i dont care where tf they go. They got a taste of their own medicine while i'm living peacefully right now. In my current junior college environment, classmates and teachers are super supportive and caring, like literally a 180 degree flip from my secondary school. Now i can finally start healing from the trauma secondary school caused me, and look forward to a brighter future.
So everyone please know this, what goes around, comes around. Bad karma will always catch up to the bullies. Success is your best revenge. Remember, you are not alone in this, you are definitely better than those who bully you. Believe in yourself, and you can definitely do it. There are always people who will support you, Trust me. You are never alone in this.</t>
  </si>
  <si>
    <t>https://www.reddit.com/r/SGExams/comments/1oh5sa3/constantly_bullied_in_secondary_school_glad_those/</t>
  </si>
  <si>
    <t>My son has been tormented by his bully and his minions since the first week of school Daily taunts sometimes with perverted and sadistic sexual innuendos Recently they stole his phone from his locker A few days ago my kid flung his schoolbag in the direction of his bully and promptly got his ass whipped (bully is twice his size) This being 2024 it got recorded , bully will be caned in school. Now the hospital , school and msf have strongly urged me to make a police report but I am hesitant and so is my son He worries that they will literally kill him as it would escalate the situation I worry because my past experiences the police will do fuck all
I am sending his parents the hospital bill and also would like MSF to start an investigation to this sociopaths home life to ascertain why he is the way he is
MSF can only act on police recommendations (and I am pretty sure they will do nothing )
Should I make a court report ?</t>
  </si>
  <si>
    <t>https://www.reddit.com/r/askSingapore/comments/1b91xpo/school_bullying_situation/</t>
  </si>
  <si>
    <t>19F, I am in Y2 of poly and honestly it has been hell. For context, I got accused of posting something anonymously on here when I did not, provided proof I did not either and the people intentionally cleared the chat and then spread rumours saying I did it and never showed my evidence which btw, has where I was when post was happening, a video recording of private information and even what I was doing that day because I was outside. The post was also from another school, and it just feels like they are targeting me for no reason? This is cause a few days before this incident, they already removed me all over social media and started excluding me from lunch.
After these events, they deliberately removed my name from group work, told people I was useless and ugly. I spoke to the lecturers but to no avail, all I had was to talk to the counsellor.
Since then, my results have been dropping because of the lack of work I have been doing despite trying my best to talk to them. I am stressed because I want to get into Uni.
What do I even do next? I feel like I am being bullied but what if I am overreacting? Finals are coming but so far, everything has been hell.</t>
  </si>
  <si>
    <t>https://www.reddit.com/r/SGExams/comments/1r32vzb/am_i_being_bullied/</t>
  </si>
  <si>
    <t>back in sec 2 i rmb hating it sm i wld legit find means and ways to escape school bc i was getting made fun of a lot. I was assigned to be a student councillor in sec 1 when i was in N(A) and did well enough to enter express. Hence, i was thrown into a new environment with no one i knew being inside. Since it was almost everyone’s second year being together, everyone was already in cliques so making friends was almost impossible. As part of the logistics team in SC i wasn’t with my class a lot too. Anyway, there were other SCs in the class with me, one of them in the class was known to be extremely two faced and looked down on ppl in the class (including me), rmb hee laughing at me during class and calling me names a lot of times bc i was rlly awkward.
Had enough of it and reported it after eoys since it affected me a lot, teacher had said that she wld deal w it but ended up coming to a dead end. She informed council teachers but all they did was give a talk to everyone and the girl wasn’t even there.
She’s now one of the head of the student council. Talked to the principal abt it since my dad was rlly angry bout the whole situation and the principal didn’t even know about the whole situation.
Goes to show how much they care abt bullying. The talks given abt it were a complete waste of time !! 😭</t>
  </si>
  <si>
    <t>https://www.reddit.com/r/SGExams/comments/198rq68/schools_and_bullying/</t>
  </si>
  <si>
    <t>in sec 2 i got my pants pulled down to my ankles during pe. had two wannabe YP fuckups harass me in the canteen while i was minding my own business, got bullied during pe lessons, mocked and was unable to speak up for myself. fucking sucked, that kinda fucked up my life(along with many other things )even until now and it’s been 4 yrs alr.</t>
  </si>
  <si>
    <t>https://www.reddit.com/r/SGExams/comments/198rq68/comment/kiavzkc/?utm_source=share&amp;utm_medium=web3x&amp;utm_name=web3xcss&amp;utm_term=1&amp;utm_content=share_button</t>
  </si>
  <si>
    <t>Irregular but more than once</t>
  </si>
  <si>
    <t>Recently during PE and also in class, he has been teased quite a few times about his appearance (like his size). It’s been happening over a few days. He looks quite embarrassed and now he doesn’t really talk much to others.</t>
  </si>
  <si>
    <t>https://www.reddit.com/r/singapore/comments/7mk5ft/share_your_being_bullied_or_even_bullying_stories/</t>
  </si>
  <si>
    <t>i witnessed a boy being bullied. it was an upper pri class (p5/6), and i think the victim had some temper issues, but i’m not sure. all the other boys in the class hurled nasty remarks at him and even kicked him, not wanting to sit near him during the performance. the teacher only intervened when small physical fights broke out and just told them to stop occasionally which of course had no impact.</t>
  </si>
  <si>
    <t>Regular like weekly</t>
  </si>
  <si>
    <t>The bullying comes from boys from a mixed school nearby. Bus rides home from school were hell. My bus went the same route as the bus from the mixed school. Whenever our buses stopped beside each other at the traffic light, a group of boys would always point at me and make hand gestures that signified fat/pig/monkey. I cried on the bus a few times and the bus aunty told me to ignore them. It is easier said than done.</t>
  </si>
  <si>
    <t>One-off</t>
  </si>
  <si>
    <t>During group work today, I heard one boy call another boy “stupid” when they were discussing answers. It didn’t seem like a big argument, but the boy who was called that just kept quiet after and didn’t really talk much for the rest of the activity.</t>
  </si>
  <si>
    <t>At recess just now near the basketball court, a few students were joking about how one girl runs very slowly during PE. They were laughing and she kind of laughed also, but after that she just stood there and didn’t continue playing with them.</t>
  </si>
  <si>
    <t>At recess near the drink stall, I saw a group of students surround one student. They were calling him names and I think they tried to take his money. He started crying and looked very distressed before they eventually left.</t>
  </si>
  <si>
    <t xml:space="preserve">They put staples on my chair, leaves notes and further harassment during recess. I spent most of recess time alone or with the few allies I had. </t>
  </si>
  <si>
    <t>I am a brace-faced girl. Everyone would make fun of my braces because I would "talk funny". I am a typical indian student with my 2 braids, centre parted hair. Boys would make fun because my skirt was always below my knees or that I would have hairy legs</t>
  </si>
  <si>
    <t>I saw him get hit on the lip by a small portable whiteboard because " he splashed some water onto him after stepping on a puddle".</t>
  </si>
  <si>
    <t>I had extreme self-esteem issues (from bullying) so my heart rate would increase rapidly whenever I have to speak within a group and stuttering is an issue. That was why I was a quiet person. One day, I tried to contribute to the class discussion. Some punk told me "stop talking and don't be an attention seeker". I feel like staying quiet forever now.</t>
  </si>
  <si>
    <t>I got bullied by some P6 dude over a basketball, he snatched my basketball so I went to over to ask for it back. He refused, and began to beat me up while the rest of his basketball gang watched. He even smashed the basketball by my torso. Another even shouted at me asking me to go home to my mother.</t>
  </si>
  <si>
    <t>Senior came up to me and asked me if there was any butter left and i said no. so he asked me to give him my bread, and i refused. he smiled and kept asking me repeatedly if i was sure. eventually he said "alright, whatever" and started walking away. as he walked past me he slapped my hand and my bread fell onto the floor buttered-side down.</t>
  </si>
  <si>
    <t>a group of kids took my collection of country flag erasers... and my pencil case. I walked around the class and found them playing with my erasers. They said they "found them somewhere" and that there's nothing I can do to claim they were mine, even though the erasers had my mark "M" behind each. When I confronted them in the next period (recess) outside class they denied everything and started forming a circle around me calling me names and shit. When I started to cry, guess they got bolder and tried snatching my lunch money too.</t>
  </si>
  <si>
    <t>2 main culprits and they would mostly just use me to test out their new wrestling moves which they must have seen the night before on WWE.</t>
  </si>
  <si>
    <t>All the time</t>
  </si>
  <si>
    <t>I'm a German-born Singaporean.  Malay boys and a number of the Chinese in the class started to call me, 'German Shepherd'. Most of the boys just started to beat me up and just insulted me, calling me a Nazi and such</t>
  </si>
  <si>
    <t>My classmate once snatched my bag from my classroom and ran off to hide it somewhere in the school</t>
  </si>
  <si>
    <t>I am paired up with this girl from a popular clique in a Chinese group project. We had a disagreement and she started hating me, which led to most of the class hating me/not talking to me. They would do the most childish thing like give me dirty glances and whisper when I pass by, it might seem stupid now but it really made me paranoid and probably one of the trigger causes of my anxiety. In the same year, I forgot my textbooks under my desk, went back 30 minutes later to find them gone. Figured one of the bullies must have thrown out my books, I never got them back and it was near exam season.</t>
  </si>
  <si>
    <t>I got ostracised a lot because I listened to a lot of metal (music was a huge huge thing in lower sec) and I used to get pushed around a lot because I had a fiery temper but was physically super weak (like underweight and couldn't do a pushup with knees on the ground, this was also an all boys school). I wanted a seat in the canteen that a senior put his foot on, so I asked if I could use it and he told me his foot was worth more than my existence. Also had this dude 4 years my senior cyber bully me on Instagram telling me I would never be able to grow out of weakness and stuff</t>
  </si>
  <si>
    <t>There’s a student who has been getting repeated comments about her body whenever people walk past her, like almost every day. Recently, someone even called her just to make fun of her. She looked very uncomfortable and quite distressed after that.</t>
  </si>
  <si>
    <t>I’m 13 and going to sec 2, but I’m a very shy kid and have only one friend at school. there are two girls who try to make me angry and when i ignore them, they make fun of me for it. it’s making me feel angry and sad, it started in sec 1 and one the girls left school but the situation is still bad. i don’t think that i can tell the teachers because they would make fun of me more, and my mum is telling me to just report it all by myself. i just feel helpless in this situation. i started thinking about self harm and the only thing that stops me is my fear of pain but any day I can overcome this fear and do it. it really scares me but I feel too bad to even worry about it. I know it won’t help but I can’t do anything else. maybe it will make my mom notice that I can’t deal with it by myself.</t>
  </si>
  <si>
    <t>I’m sitting in the bathroom crying because school just isn't a safe space for me anymore. Today, one of the bullies hit me in the head and then tried to kick me between my legs. As if that wasn't enough, another guy walked past me and spat out "dyslexic f**k!" three times in a row. I feel like a target. It’s not just the physical stuff; it’s the constant verbal assaults on things I can't even change about myself. How am I supposed to sit in class and focus when I’m worried about getting hit or harassed every time I walk down the hallway?</t>
  </si>
  <si>
    <t>I haven't slept properly in weeks. I’ve stopped eating in the school canteen because I can't handle the anxiety of being in the same room as them. I’ve even stopped talking to my actual friends because I just... can't. I’ve completely withdrawn.Between the physical violence and the constant names, I just don't feel safe anywhere. I feel like I'm disappearing. I used to have a life, and now my entire existence is just trying to survive the school day without a panic attack. Has anyone else gone through this? Does it ever get better?</t>
  </si>
  <si>
    <t>I was mostly teased for being fat/slow Got into a fight with a guy before I choked him on a bus. (Many years back in pri sch)</t>
  </si>
  <si>
    <t>i got bullied throughout sec 1 bc a sec 3 senior liked me and we talked etc but there was a group of girls that was super obsessed with him so i was bullied hardcore in school and online - they would call me names and write nasty things about me on facebook, scream my name when they see me in school (??), push me randomly etc.</t>
  </si>
  <si>
    <t xml:space="preserve">Got pinned down and punched in the body by a school councillor (aka prefect) while I was queuing up for food because I tapped on his shoulder to say hi. </t>
  </si>
  <si>
    <t>Skill issue honestly</t>
  </si>
  <si>
    <t>not a victim of bullying, but when i visited my primary school during teachers’ day a few months ago i witnessed a boy being bullied. it was an upper pri class (p5/6), and i think the victim had some temper issues, but i’m not sure. all the other boys in the class hurled nasty remarks at him and even kicked him, not wanting to sit near him during the performance. the teacher only intervened when small physical fights broke out and just told them to stop occasionally which of course had no impact. idk what made them so against him but if i were the boy i would’ve felt so sad and absolutely hate school.</t>
  </si>
  <si>
    <t>primary sch
p3-p6
mom came down aggravted the outcast situation the bully situation involves disturbing teasing , name calling
sec 1-4 namecalling outcasted mom also came down aggravted
pru1 pru3 this type involve being outcasted only mom did not go down
my whole schooling life i have been living like a lonely frightened rat running from spot to spot afraid to be seen .
after going through the hatred and resentment i learn to let go and focus on the present moment to heal.
best revenge is to live well, forgive the people who hurt u because forgivness frees u and only not the bully.
when others do is their karma , what you do is yourself. 反求诸己</t>
  </si>
  <si>
    <t>https://www.reddit.com/r/askSingapore/comments/vjtbzt/those_who_were_bullied_in_school_how_did_yall/</t>
  </si>
  <si>
    <t xml:space="preserve">
Group of guys picked on me in sec 1 and 2 for being short and would always play with me(push me around etc, play with my personal belongings etc) now im in poly and am in a much happier place with better friends and classmates. Things did get better from sec 3 where we changed class. I will never forget what they did to me though</t>
  </si>
  <si>
    <t>https://www.reddit.com/r/askSingapore/comments/vjtbzt/comment/ido7sjb/?utm_source=share&amp;utm_medium=web3x&amp;utm_name=web3xcss&amp;utm_term=1&amp;utm_content=share_button</t>
  </si>
  <si>
    <t>I had really low self esteem in primary school and was 'that skinny kid' that you could bully. There was this kid in my class took a marker pen and drew all over my textbooks. Other kids stole the snacks I brought for recess to eat. Was called 'stickman' 'bean pole' 'bamboo' whatever you can think of. It was terrible. Thankfully I grew a bit of a backbone in sec school and the bullying stopped.</t>
  </si>
  <si>
    <t>https://www.reddit.com/r/askSingapore/comments/vjtbzt/comment/idl6rua/?utm_source=share&amp;utm_medium=web3x&amp;utm_name=web3xcss&amp;utm_term=1&amp;utm_content=share_button</t>
  </si>
  <si>
    <t>Warning: Contains descriptions of suicide
I have been involved in many different cases of bullying throughout my 3 years in secondary school, whether it be me being bullied or me "bullying" another student. I've been involved and have seen so many different cases and the punishment for each case we're so different???? I will not disclose my school for personal reasons but I have kept these thoughts with me for really long. I do have to admit I am not the most likable student and that has caused some of these problems, but it doesn't undermine the difference in how the school should handle the case does it?
In year 1, I was elected as class chairperson as I seemed like a bubbly likable student. However, after taking on the role, I was in the spotlight of all the students in the class, making me an easy target to bully. All of this piled up slowly throughout the first few months until one day I was pushed over the limit, I couldn't take it anymore, so I took a pair of scissors and just went out of the classroom, standing close to a ledge, threatening to end it all there and then. By the time the teacher returned from the washroom I was standing by the ledge, scissors in hand the teacher was kind and managed to calm me down. This incident got all the way to the head of department for student development, since I was close to him, he did come and talk to me about the incident. My parents were also notified about it.
Few months after this incident, something similar happened where after a PE lesson, me, not being the fittest person, I was holding the class keys and took some time to get to the classroom, which was also coincidentally the furthest classroom in the school from anywhere. When I had finally got to the classroom, the entire class was in a rage because I was slow to bring the keys up. Again I stood outside the class and kept silent, this time the then PE rep did come out and comfort me, although I don't think at that point of time I wanted to end it all there and then. Thankfully I was comforted and finally felt that at least there were some people caring for me. Although the bullying did continue throughout the year, I managed to withstand it and not let it affect me.
Nothing much happened in year 2 and I managed to rebuild relationships with a large portion of my class.
This year, although I was targeted as the PE representative, I knew it was just my classmates laughing about and not really bullying in the bullying sense. However, I was involved in a case of bullying I was very implicated in. During an NSG match that the school played in, a big match, multiple incidents happened that lead to me and 5 other students to have had "bullied" another student. During the match the student stated that my school should have played worse so that he wouldn't have wasted time to watch the match since we lost, adding that the players on the pitch were bad. In addition to that some of the parents from the other school mocked my school. The 6 of us, in the sense of justice and protecting the student athletes from our school, started saying not the nicest things, and I have to admit, the words said were really really bad. After that, apparently his parents reported it to the discipline master. I don't have details of what happened then. The next day, we were asked out by the discipline master and he gave us a really harsh talking to saying that we were bullying him. However, this "bullying" only happened on one day and was not prolonged in my cases prior. The punishment was corrective work order which I feel was deserved since the things said were really really hurtful, and a strict warning to not do anything else that broke the school rules if not the highest disciplinary form of action, which would be a temporary suspension from school. We felt that this was unjust since we only targeted him for one day. And for two of us involved, we have been bullied before and no consequences were taken against the students in question. At least that we know of. And by the discipline master's definition of bullying, I think that most of the students in the level should have at least been suspended in one way or another. This lack of justice has made me very annoyed as I know of some students who are actively being bullied by another set of students who do not want to report because reporting in the eyes of the bullied is an admission of defeat, at least in my school as my school is admittedly very toxic, and that after reporting it to the discipline head, the students will be bullied by other students for reporting, making the bullying worse through reporting.
TlDr: My school has an imbalanced system of discipline that has lead to an imbalance in its justice system, adding to that the toxicity has lead to a bullying culture that leads to an unpleasant environment for the students, affecting our studies.</t>
  </si>
  <si>
    <t>https://www.reddit.com/r/SGExams/comments/1hol71u/my_take_on_bullying_in_secondary_schools/</t>
  </si>
  <si>
    <t>Late night thoughts.. I’ll start by sharing mine. When I was secondary school, the guys in my class were super mean, think of those paikia type. They like to pick on the non-popular ones in class and make fun of them. I was super ugly in the past, and unfortunately also very quiet and shy. Honestly this is the worst combination of traits for bullies to choose to pick on. I was really skinny, short, and face full of acne and they like to make fun of that. They would always giggle or make laughing noises whenever I walk past or when I am just minding my own business. It also doesn’t help that I was unsociable and awkward, so I was seen as an outcast. Basically they just see me as some weirdo
I guess the only silver lining in this is that I studied super hard so I won’t end up in the same class as those guys in sec3 and sec4, and it worked. It became my sole motivation lol. I achieved grades that I don’t even know I was capable of achieving, and this motivation continued until A levels, which I don’t think I can achieve otherwise
It also made me more vain (I hope in a good way). It made me want to take care of my appearance more, not good looking but at least I don’t think I’m ugly now.
That said I think I still have trust issues till this day, I don’t initiate conversations or try to make friends with others unless they initiate first, and this is just my way of protecting myself. Haha and my colleagues always wonder why am I so quiet and seem so aloof. I guess this is why I have almost no friends as well.</t>
  </si>
  <si>
    <t>A bunch of mean, popular girls spread nasty rumours about me, saying I broke a very major school rule, which caused the rest of the class to ostracise me and the school to investigate me for months. Most people didn't think the rumour was true, and the DM eventually said I wasn't guilty, but everyone still kept their distance because they feared the mean girls would cut them out next.
I simply found other friend groups. Those willing to be seen with me were mostly other social pariahs, but many were misunderstood or also victims of baseless rumours. Years later I've a made a circle of friends who believe in my character.
The last I heard about the mean girl, her reputation is worse than mine because she got caught cheating on her boyfriend</t>
  </si>
  <si>
    <t>https://www.reddit.com/r/askSingapore/comments/vjtbzt/comment/idl40tl/?utm_source=share&amp;utm_medium=web3x&amp;utm_name=web3xcss&amp;utm_term=1&amp;utm_content=share_button</t>
  </si>
  <si>
    <t>Not so good. Developed GAD, MDD and panic attacks as a result from it. Still struggling with those mental disorders now.
In primary school, I got targeted by 2-3 people where my stationaries got stolen on a regular basis, my school shoes got thrown into the dustbin, I got pushed a lot of times and one of the bullies actively try to expose me for playing truancy when I am not in school (even resorted to going to my house and shouting "[my name] is a master of truancy by skipping school all the time". There was this time where my grandfather passed away (my mom spoke to my teacher to excuse me for a few days from school which my teacher obliged) and when I returned back to school, this guy approached me and said, "Dont pretend that your grandfather is dead, you only used that excuse to skip school as usual".
In secondary school, I got the brunt of the class politics in sec 4 and 5 for "not doing my part in class competitions". I got excluded from majority of the things that the class did. They started to say how weird and pathetic I am and how I am only good at studying. Also at this stage, girls started to pick on me because of my nerdy and ugly looks. They tend to say how disgusting I am, how ugly I am, how I am going to grow old and die alone and etc. Basically any comments about my face, they will say it.
This part is kinda sensitive as it involves race so if anyone want to see it, go ahead. If not, just ignore this part. In both primary and secondary school, both malay guys and girls hated me a lot for being mixed race and they deemed me as "not pure malay" despite being half malay (or 1/3 malay) myself so they would ignore me or not talk to me at all when I try to talk to them</t>
  </si>
  <si>
    <t>https://www.reddit.com/r/askSingapore/comments/vjtbzt/comment/idlll7s/?utm_source=share&amp;utm_medium=web3x&amp;utm_name=web3xcss&amp;utm_term=1&amp;utm_content=share_button</t>
  </si>
  <si>
    <t>Was bullied so badly in sec and primary school. Primary school i literally ate in the toilet (LOL only my family knows abt this) because i had no friends. Secondary school, i was cyberbullied (ALSO LOL) and was called ugly bcos i had really bad teeth. The girl who cyberbullied me told me she’d bring her “gang” down and all too but eventually she didnt because its all fake. It was all some random fake account that my friends were “friends” on Facebook with too, hating on me for no reason. Crazy. My secondary school life was miserable.
Anyway, sort of “glowed up” aft I got into Uni and gained some followers through tiktok recently then the guys who bullied me in the past tried asking me out LOL. Disgusting.
I too have zero friends from secondary and primary school. But i do have very very close JC friends.
All in all, pretty happy with my life now honestly.</t>
  </si>
  <si>
    <t>Used to have man boobs in secondary school. Everytime when I would need to change from PE attire to school uniform in the toilet some of the guys would come can touch and grab, squeeze and pinch them. Sure I did tell my parents, parents tell teachers, teachers scold students, students say sorry, peace for a few months and it would repeat. So fuck it, it came to the point where I just let them do what they want and fuck off because it was easier than defending for myself where if things got physical everyone gets punished. I would also need to travel all the way to the other side of the school to avoid them so I could change in peace.
Now even without the boobs, I'm so used to soaking insults I just hurt myself emotionally so the world would never hurt me anymore, jokes on you can't hurt me cuz I alr hurt myself kinda thing.
Only in the past few year's I'm slowly realising that there's some good in me, that although it trained me to be patient, I won't stand up for nonsense anymore. Ended up being a more practical and patient guy when dealing with problems/relationships.</t>
  </si>
  <si>
    <t>https://www.reddit.com/r/askSingapore/comments/vjtbzt/comment/idmbf8d/?utm_source=share&amp;utm_medium=web3x&amp;utm_name=web3xcss&amp;utm_term=1&amp;utm_content=share_button</t>
  </si>
  <si>
    <t>Back in secondary school , people from a certain race made fun and disliked me due to my race. Also there are lots of other small stuff too that I am too lazy to talk about.
How it affected me:
After secondary school , I continued to decline and now my enemies are ahead in life in terms of finances , looks , skills and their overall future.
I just avoid certain areas of Singapore , cause there is quite a high chance I see them. Also , became more cynical and my self-esteem decreased massively. I try not to trust anyone from that race cause there are lots of bad experiences.
Bullying was not as bad as the other comments in the thread but still, fuck them.
The cliché where the nerd suddenly has a glow up and a better life than the bully in the future does not apply to me sadly.
I am still young though , so still have lots of time to be better than them. Just wish I could use my hatred to improve myself and be better than them.
Hopefully , one day in the future I can fuck them over =).</t>
  </si>
  <si>
    <t>Was kinda bullied in primary school. I was really stupid, so I easily got ignored, got lied and gaslighted for my money (because I got slightly more pocket money). During P6, my “friend” would occasionally threaten something and I’ll be so afraid because I thought my parents would get involved.
It might have affected my grades idk, got 200 PSLE. I believe in some way, it might have given me some social anxiety.
In Secondary school, I grew up; made some real friends and realised how toxic I was treated, I resented my childhood and the primary school to this day.</t>
  </si>
  <si>
    <t>https://www.reddit.com/r/askSingapore/comments/vjtbzt/comment/idlp6dn/?utm_source=share&amp;utm_medium=web3x&amp;utm_name=web3xcss&amp;utm_term=1&amp;utm_content=share_button</t>
  </si>
  <si>
    <t>Was the ugly girl that even some girls will avoid back in sec sch. Mostly I just mind my own business and kept to my very few friends, but still managed to get humiliated by the bullies fml. Had low self esteem and hated myself so much back then, even considered "restarting" my life since there's no hope of being treated with respect when I looked like that.
But I glowed up after my O's, formed long lasting healthy and positive friendships with people, working in the career I wanted, and don't lack attentions from opposite gender. Definitely turned out well. Blocked those fuckers on socials so I have no idea what happened to them but I wish them the worst. Am sure karma will bite them in the ass.
If anything, they motivated me to do well in life. I have to live better than them to be fair to myself.</t>
  </si>
  <si>
    <t>https://www.reddit.com/r/askSingapore/comments/vjtbzt/comment/idl0vhw/?utm_source=share&amp;utm_medium=web3x&amp;utm_name=web3xcss&amp;utm_term=1&amp;utm_content=share_button</t>
  </si>
  <si>
    <t>Thank god someone brought this up. I got bullied a lot in Secondary School by the “cooler” and “popular” Malay kids back in secondary school. They were a part of the school sports team which won a lot of accolades so yea.
I started to be quiet and wasn’t sociable as I once was. I get very sensitive around people and will always overthink when I see two people whispering. Once they took my phone while playing soccer and took a couple of my photos and voice recordings and distributed it to the whole school. They called me gay and fat and because of the constant cases of bullying, the girls didn’t wanna come close to me as I was seen as weak and a target. Told me I’ll end up being single for life cause no one wants a gay boyfriend. Contemplated dropping out and going for counselling. Didn’t tell my parents as I didn’t want to worry them. Worst period of my life.
Safe to say I went to poly and met amazing people and my confidence came back. True enough you need to surround yourself with the right group of people. I’m now doing well both in my mental and physical health. I have a good career with good income and an ever supporting family. Planning to get married to a really beautiful lady next year. All is working out fine thankfully.
But as for the bullies and cool kids their life kinda went sideways once they left secondary school and their life is in shambles now tbh. Good always prevails y’all.
Oh I’m also Malay btw HAHA</t>
  </si>
  <si>
    <t>https://www.reddit.com/r/askSingapore/comments/vjtbzt/comment/idnfgvq/?utm_source=share&amp;utm_medium=web3x&amp;utm_name=web3xcss&amp;utm_term=1&amp;utm_content=share_button</t>
  </si>
  <si>
    <t>Was in a CCA (ncc) that has a lot of paikia, they think im weak (skimny, short and smol is a horrible combo).
it was mainly two types, being ostracised and looked dowm upon by the express group. (im in NA). Its the sort of disgusting look they have and harping on your mistakes and they try to use rank lol. Freaking annoying.
Another type is by NT malay gang (them only, not all malays no offense. ) who likes to think they are above all, verbal bullying (calling names, shouting your name to humiliate u and get your attention) light physical bullying such as pinching n twisting my nipples, hitiing head, shooting objects at me, taking my stuff, luckily never got to extreme beatings...
This made into an introvert and i see them i automatically avoid them, grew. A bit paranoid and was constantly scared they were behind me. Planning the routes to reccess so i can avoid their class.
In case you think why i never reported this is because my pov last time was this sort of bullying doesnt happen in public, its always during toilets, unseen or hidden areas, hence its just my words against theirs. Reporting will only make it worse. You all know what i mean...?
In NS, bmt, was also ostracised by my section /platoon (even my own buddy likes to laugh at me behind my back). But things werent so extreme. No physicall bullying thankfully, just pressure to perform well, laughing behind your back, saying you better perform well at cqb later, dont drag us down. sort of thing depsite me trying my best with my frail body.
Was a very lonely bmt, thank goodness for two encouraging bmt mates (shoutout to jorden). Unit life was so much better.
Working has been a bliss so far no bullying! Nice ppl.
Am slowly learning to trust people again, to get my ocnfidence and self esteem back...to all bullies karma will come back to you... Pls dont bully in any forms, it will cause scarring to the victim througjout their life.</t>
  </si>
  <si>
    <t>https://www.reddit.com/r/askSingapore/comments/vjtbzt/comment/idn2f8s/?utm_source=share&amp;utm_medium=web3x&amp;utm_name=web3xcss&amp;utm_term=1&amp;utm_content=share_button</t>
  </si>
  <si>
    <t>I think this is considered bullying too.
In primary school, I was peeing in the toilet and my classmate stood beside me to pee. We were not using individual urinals but there was this long pee wall thingy(whatever its called).
Halfway thru my pee, i turned 45 deg to my left and pees on his shoe... just for fun :/
He cried.</t>
  </si>
  <si>
    <t xml:space="preserve">Because I was quiet, one of the bully told other classmates to not talk to me because I was trying to be a goody two shoe to the teacher </t>
  </si>
  <si>
    <t>frequency_score</t>
  </si>
  <si>
    <t>bullying_report</t>
  </si>
  <si>
    <t>severity_score</t>
  </si>
  <si>
    <t>During morning assembly, we always have to sit in lines with the girls. Every time I sit down, those popular girls would start whispering things like “Eeeeewwwww, I don’t want to sit next to that cancerous girl” and “ewwwwww Sarah” One of them would say, “Gwen, you sit next to her instead, not me.” They made it super obvious they didn’t want to be near me. They will just stand there in a group, acting awkward and avoiding me like I had some disease. Only after another girl came and sat beside me, then the whole clique would finally sit down.</t>
  </si>
  <si>
    <t>During morning assembly, I always see this happen when we sit in lines. There is this group of popular girls who will refuse to sit next to her. They keep whispering things like “Eeeeewwwww, I don’t want to sit next to that cancerous girl” and calling her name in a disgusted way. One of them even told another girl, “Gwen, you sit next to her instead, not me.” They would just stand there together, making it very obvious they didn’t want to be near her, like avoiding her on purpose. Only when another girl sat beside her, then the rest of them would finally sit down.</t>
  </si>
  <si>
    <t>I am constantly being bullied by many people in my class. We don’t use WhatsApp, only Facebook, and they created a fake profile of me and even made groups to plan how to attack me. I know this because I overheard them talking about it. During recess, they will take my money, so I end up having nothing to eat. When I go to the toilet and come back, all the things in my pencil case are thrown onto the floor. Sometimes they also touch me inappropriately and kick my balls. I still haven’t told my parents or anyone else about what I am going through.</t>
  </si>
  <si>
    <t>My classmate keeps getting bullied by a group of students. They have created a fake Facebook profile of him and even made groups to plan how to attack him. During recess, they take his money, so he has nothing to eat. When he goes to the toilet, they mess up his things and throw everything from his pencil case onto the floor. There are also times when they touch him inappropriately and kick him. As far as I know, he hasn’t told his parents or anyone else about it.</t>
  </si>
  <si>
    <t>I know that someone from my class keeps sending me “anonymous” messages on Tellonym. At first, I try to ignore it, but it just keeps coming. They keep calling me a “slut,” “bitch,” and “idiot.” Now they’re even sending me messages telling me to kill myself. I thought it’s just online at first, but then it started happening in real life too. The other day, someone threw something at my face and i started bleeding.  I feel honestly terrified to even check my phone now.</t>
  </si>
  <si>
    <t>someone has been sending jane anonymous messages on Tellonym. The messages are very mean, calling her names like “slut,” “bitch,” and even telling her to kill herself. Recently, it got worse. She looks really scared all the time, especially when using her phone. Then one day, someone threw something at her face and she started bleeding. I felt quite shocked seeing that happen.</t>
  </si>
  <si>
    <t>jane has been getting bullied online by someone from our class through Tellonym. The messages are very harsh and insulting. After that, things started happening in real life too. She seems very afraid now, and there was one incident where something was thrown at her face and she started bleeding. It made me feel uncomfortable seeing how serious it became</t>
  </si>
  <si>
    <t>School doesn’t feel safe for me anymore. Today, one of the bullies hit me in the head and then tried to kick me between my legs. After that, another guy walks past me and says “dyslexic f**k!” three times in a row. I feel like a target all the time. It’s not just the physical stuff, it’s also the constant verbal attacks about things I can’t even change. I don’t even know how I’m supposed to focus in class when I’m always worried about getting hit or harassed.</t>
  </si>
  <si>
    <t>Today, I saw someone hit Alex on the head and try to kick him. Then another guy insulted him by calling him “dyslexic f**k!” repeatedly. It seems like he’s constantly being bullied, and I can tell it’s affecting him a lot.</t>
  </si>
  <si>
    <t>I haven’t been sleeping properly for weeks. In school, I stop eating in the canteen because I can’t handle being in the same place as Jayden and his gang. I also stop talking to my friends because I just can’t deal with anything anymore. With the physical bullying and all the name-calling, I don’t feel safe anywhere. I feel like I’m slowly disappearing. I used to have a normal life, but now I’m just trying to get through each school day without having a panic attack.</t>
  </si>
  <si>
    <t>I think Shawn is having a lot of trouble lately. He doesn’t eat in the canteen anymore and avoids being around others. He also stopped talking to his friends. From what I can see, it’s because of the bullying he’s facing. He looks constantly anxious, like he’s just trying to survive each school day. It really seems like he doesn’t feel safe anywhere in school anymore.</t>
  </si>
  <si>
    <t>For almost six months now, I’ve been getting bullied by three boys in my class. They keep insulting me, mocking me, shoving me, damaging my stationery, and even erasing my homework. They also keep using racial slurs and saying really hurtful things like “nigger”, “shut up”, “f*ck you”, “dumb ass”, “shit”, “qi bai”, “stupid”, “bitch”, and even “shut up at your family’s grave.” On 24 July, during class, I just reminded someone to keep quiet, and after that, two of them physically assaulted me.</t>
  </si>
  <si>
    <t>Emily keeps getting bullied by three boys for months. They keep insulting her, mocking her, shoving her, spoiling her stationery, and even erasing her homework. They also use a lot of racial slurs and harsh insults like “nigger”, “shut up”, “f*ck you”, “dumb ass”, “qi bai”, and other vulgarities. She told someone to be quiet during class the other day, and after that, two classmates suddenly physically assaulted her.</t>
  </si>
  <si>
    <t>Everyone treats me badly because I have special needs. My classmates ostracise me and say mean things straight to my face. Some of the boys even push me physically. I feel left out and targeted almost every day in school.</t>
  </si>
  <si>
    <t>I see how badly Rachel is being treated everyday. A lot of my classmates ostracise her and say mean things directly to her face. Some of the boys even push her around physically. It’s quite obvious she’s being targeted and excluded by everyone.</t>
  </si>
  <si>
    <t>Nicole keeps threatening to physically assault us, touch us, and even harm our family members. She even described in detail how she wants to sexually assault us. One time, she chased one of us outside of school, and she ended up hysterical and crying because she’s so scared something bad is going to happen. She also spread baseless rumours about us and turned our friends against us. She even got her boyfriend and his group of friends to come after us, and we ended up suffering for weeks.</t>
  </si>
  <si>
    <t>I see a group of girls being targeted by someone who keeps threatening to physically harm them and even their family members. She also says disturbing things about wanting to sexually assault them. At one point, she chases one of the girls outside of school, and the girl is crying and clearly terrified. She also spreads rumours that turn their friends against them. After that, she even gets her boyfriend and his group of friends involved, and the girls keep getting harassed by them for weeks.</t>
  </si>
  <si>
    <t>Someone spread a rumour about me, and suddenly everyone “unfriends” me. People are scared that if they talk to me, they’ll become the next target, so nobody even comes near me. I feel so depressed and I hate school now. I keep telling my family I’m not feeling well because I don’t want to go to school.</t>
  </si>
  <si>
    <t>Ben is getting isolated because of a rumour someone spread about him. After that, everyone avoids him, and nobody dares to talk to him because they’re scared of becoming the next target. I can tell he’s really affected because he looks very down and seems to hate coming to school.</t>
  </si>
  <si>
    <t>People in school keep fat-shaming me because I’m overweight. They avoid me and post things about me on Facebook, calling me fat and other hurtful names. It affects me so much that I start starving myself on purpose or purging after eating. I'm also diagnosed with bulimia now.</t>
  </si>
  <si>
    <t>I see Betty getting fat-shamed in school. People avoid her because of her weight, and some even post things about her on Facebook calling her fat. Over time, I notice she starts behaving differently, like something is really wrong. Later on, I found out that she has been starving herself or purging after eating.</t>
  </si>
  <si>
    <t xml:space="preserve">Everyone knows that Brenda is a bully. She targets different people in different ways. She fat shames the bigger girls, physically bullies the quieter ones, and for me, she always takes my homework to copy. One day I couldn't take it anymore, so I photocopied my worksheet and purposely wrote all the answers wrongly, like super nonsense, then passed it to her to copy. She ends up getting the whole worksheet wrong. During recess, she slapped me and called me a bitch. </t>
  </si>
  <si>
    <t>Brenda always fat shames some girls, pushes the quieter ones, and I see her always taking Jia Hui's homework to copy. During recess one day, I saw Brenda slap Jia Hui and called her a bitch.</t>
  </si>
  <si>
    <t>I saw Brenda slap Jia Hui and called her a bitch the other day during recess.</t>
  </si>
  <si>
    <t>people in my table group keep tearing up my textbooks. I think it's because I'm the only non Chinese there. Maybe it is also because of my weight and I have a strong foreign accent, so they keep targeting me. I just sit there and watch my things get destroyed, honestly damn sian and helpless.</t>
  </si>
  <si>
    <t>Peter keeps getting bullied by his own table group. They literally tear his textbooks in front of him and I heard them making fun of him because of his accent</t>
  </si>
  <si>
    <t>Amos and his gang always leave horrible notes in our bags, telling us to go die and all that. They also vandalise the class photo at the back of the classroom, like using pins to poke at our faces. On top of that, they keep calling us all sorts of names. It’s just constant and damn tiring to deal with.</t>
  </si>
  <si>
    <t>I noticed that the class photo at the back keeps being vandalised by Amos and some other guys, where some faces are poked with pins. On top of that, Timonthy and his friends keep getting called all kinds of names by them. It’s quite obvious they’re being targeted as a group.</t>
  </si>
  <si>
    <t>Some people purposely step on my worksheets before I even get them back. Others will take my pencil case, unzip it, and just let all my stationery drop onto the floor. My correction tapes always break because of this since the plastic casing is super fragile. Sometimes I have to replace it every week when it gets really bad</t>
  </si>
  <si>
    <t>They step on his worksheets and mess them up before giving back. Sometimes they take Ethan's pencil case and just open it so everything drops out. His correction tape always spoil because of this, like every week need new one. It may look small but it happens quite often.</t>
  </si>
  <si>
    <t>People mostly tease me for being fat and slow. One day, I got into a fight with a guy on the bus, and things escalated so badly that I ended up choking him. I know it was extreme, but I just couldn’t take all the teasing anymore.</t>
  </si>
  <si>
    <t>I saw this guy get into a fight on the bus with another student. The bullying had been about him being fat and slow, and it escalated until he actually choked the other guy. It was scary to see, and it looked like all the teasing had really pushed him over the edge.</t>
  </si>
  <si>
    <t>I started getting bullied really badly because a sec 3 senior liked me and we talked sometimes. I know that Hannah and Amelia are obsessed with him, and because of this they bullied me hardcore in school and online. They would call me names, write nasty stuff about me on Facebook, scream my name whenever they saw me in school, and even push me randomly. It was constant, and I didn’t feel safe anywhere.</t>
  </si>
  <si>
    <t>Hannah and Amelia keep calling Chloe names, post nasty stuff about her online, scream her name in school, and even push her randomly. It’s pretty obvious they target her everywhere, both in school and online.</t>
  </si>
  <si>
    <t>Chloe keeps getting called names by Hannah and Amelia, and I heard it’s because of a sec 3 senior she talks to, and the group of girls who like him are really obsessed. They also post mean things about her online.</t>
  </si>
  <si>
    <t>While I was queuing for food, I tapped Lucas on the shoulder to say hi. Next thing I know, he pins me down and punches me in the body. I didn’t expect it at all, and I felt really shocked and hurt.</t>
  </si>
  <si>
    <t>I saw Lucas pin someone down and punch him while he was just in the food queue. Apparently the kid tapped him on the shoulder to say hi, and the prefect just attacked him.</t>
  </si>
  <si>
    <t>Sam and his friends keep making nasty remarks at me. They also kicked me a few times, and dont want to sit near me. I honestly hated being at school that day when an actual fight broke out</t>
  </si>
  <si>
    <t>The other boys keep making fun of Matthew. They even kicked him, and dont want to sit near him during the teacher's day performance.</t>
  </si>
  <si>
    <t>Evan peed on my shoes for fun when we were peeing side by side. I was so upset that I cried.</t>
  </si>
  <si>
    <t>Because I’m quiet in class, one of the bullies told everyone else not to talk to me. I think it’s because they think I’m trying to be a goody two shoes for the teacher. It made me feel really left out and isolated.</t>
  </si>
  <si>
    <t>There’s this quiet kid in class, and one of the bullies told others to avoid him because they think he’s trying to act like a goody two shoes. I feel really bad for him</t>
  </si>
  <si>
    <t>I am super timid and introverted, the kind that just sits quietly and hopes nobody notices them.  There's this one guy in my class who keeps targeting me for no reason at all. He would hurl vulgarities at me out of nowhere, I didn't even do anything to him. Every time the teacher returned our assignments or books, he would just throw mine at me instead of passing it nicely like everyone else. So embarrassing sia. And the worst part was some of the other classmates would laugh along and tease me also. Wah, kick me when I'm already down sia. I never told my parents anything. At that point I almost wanted to just quit school altogether as I felt so trapped.</t>
  </si>
  <si>
    <t>There's this quiet guy called Jon in my class who keeps to himself and never really talked to anyone, quite sad ah. This other guy who kept picking on him for no apparent reason. He would randomly shout vulgarities at him, whole class could hear somemore. Then whenever teacher passed back our work, that bully would legit throw the books and assignments at him instead of just handing it over. The saddest part was some of my classmates actually laughed and joined in the teasing. I remember feeling super uncomfortable but I also didn't say anything. I didn't know until much later that Jon was actually thinking of quitting school because of all that.</t>
  </si>
  <si>
    <t>I don't even know where to start. The bullying I went through was so bad and I feel like people don't take it seriously enough even now.
I was the type that bullies look for lah. Quiet, very small sized, like short and thin with a small bone structure. I was also very guai and I came from a single parent home where my mum honestly could not care less about what was happening to me so I had zero backup from anywhere.
There were two main bullies, Bryan and Mei Ling, and they had their whole group of lackeys who just followed along. My entire class of 40 people acted like I was straight up invisible. Nobody acknowledged the bullying, nobody said anything, nobody helped. It was like I did not exist to them.
Every single day they called me names and verbally abused me. They shot rubber bands at me in class. They defaced my desk, drew on it, scratched it. And that was just the everyday stuff. On top of that they would stuff stinkbombs into my bag, use markers to draw all over my school uniform, and pull my ponytail. All of this, every day.
I found out from an ex classmate, one who actually had a part in how everything started by the way, that it was because the Mei Ling's crush was interested in me. That was it. That was the whole reason. And Bryan just went along with everything because he liked her. I got tormented every single day because of some stupid one sided drama I was not even part of. So messed up lah.</t>
  </si>
  <si>
    <t>I was in the same class as her and honestly looking back these few months I am not proud of how I acted. Or rather how I did not act.
She was this really quiet girl, very small sized, like genuinely tiny. Always obedient, never caused trouble. But she became the target of two bullies, Bryan and Mei Ling, and their whole clique. And somehow the entire class of 40 of us just went along with it. We treated her like she was invisible, like if we pretended hard enough the bullying was not happening. Every day they called her names and said horrible things to her. They shot rubber bands at her during class. Her desk was defaced almost daily. And every now and then they would do extra stuff like put stinkbombs in her bag, draw on her school uniform with markers, or yank her ponytail.
I did not say anything. None of us did. She had nobody, not even her parent at home to support her. We all failed her tbh.</t>
  </si>
  <si>
    <t>Okay so I have to be real, I was not completely innocent in all of this and I have had to sit with that.
The girl they bullied was super quiet and small, came from a tough home situation. The two main bullies, one guy one girl, made her life hell every single day. Name calling, verbal abuse, rubber bands, defacing her desk, stinkbombs in her bag, drawing on her uniform, pulling her ponytail. The whole class of 40 people just acted blur and pretended not to see anything.
What I found out later was that the whole thing started because the Mei Ling's crush liked her which is damn childlish leh. And then Bryan just followed along because he wanted to impress the girl. This poor girl kena tormented for so long because of some immature jealousy she had nothing to do with. Damn jialat sia.</t>
  </si>
  <si>
    <t>tbh lucky i never kena the physical stuff but the verbal bullying was damn jialat. Almost every day got people saying stuff to me, calling me names, making me feel like trash. i just tahan and tahan but after a while i got so sick of it i just started fighting back physically. after that they all scared liao and slowly stopped bothering me.</t>
  </si>
  <si>
    <t>Got this boy in my class who kept getting bullied by some of the other kids. not just teasing or name calling, they actually kena punched in the stomach. like literally punched. i saw it happen and it was so uncomfortable to watch, i didn't really know what to do. then things got even more suss when people started doing this choking thing and calling it a game. i confirm wasn't going near that. sometimes i felt bad for not doing more but honestly i also didn't know how to step in.</t>
  </si>
  <si>
    <t xml:space="preserve">i honestly thought the choking thing in movies was just stupid but seeing it in real life was actually quite scary. people were just laughing and acting like it was no big deal but like, you can actually faint or worse from that? nobody seemed to care.
This guy in my class keeps getting punched for no reason, plus the verbal stuff on top of that, very poor thing. </t>
  </si>
  <si>
    <t>at first i just ignored it. people say things, you just act blur and move on right? but then it stopped being just words. Andy started getting physical and that was when things got really bad for me. i hated him so much after that, kept that grudge in my heart for the longest time. every time i saw Andy i would feel damn sian and angry all over again.
but i slowly realised holding onto all that anger was also exhausting me.</t>
  </si>
  <si>
    <t>i knew something was off with my classmate Sean for a while. he seemed more quiet than usual, kind of on edge. later i found out he had been getting bullied, first verbally then it turned physical. i felt bad that i didn't notice sooner or say something.
Sean told me he used to really hate the guy who bullied him and carried that grudge for very long. but he said eventually he just got over it with time. hearing that made me feel a mix of things, glad he moved on but also a bit guilty that none of us really did anything back then.</t>
  </si>
  <si>
    <t>There's this girl called Nicole in my class who keeps making fun of my name. Like every time the teacher calls my name during attendance she'll snicker and whisper something to her friends. It's not like she's beating me up or anything, but it's still damn annoying la. She just has this way of being rude that she tries to pass off as jokes. I don't hate many people but honestly I really cannot stand her. Some people are just plain disrespectful and she's one of them.</t>
  </si>
  <si>
    <t>I sit near Nicole who always teases my classmate Jia Xuan about her name. It's not super serious or anything but you can tell she is uncomfortable. Nicole always acts like she's just playing around but it's obviously not funny to the one being made fun of. I also don't really like her tbh, she just comes across as rude for no reason.</t>
  </si>
  <si>
    <t>I was always the fat kid in school, and in sec 1 and 2 there were like 4 students from other classes who would always come and disturb me. Mostly saying stuff, but sometimes they'd throw things at me too. It wasn't so bad because my friends were always around and we'd just brush it off together, no big deal.
But then after streaming we all got split into different classes, I realised I was kind of on my own. I told myself that if anything happened again, I had to handle it myself. And of course, things did happen.
But then I started to notice something. These guys weren't actually out to hurt me, they just wanted a reaction. They wanted to laugh, and I was the easiest target. So instead of acting embarrassed or walking away, I started playing along. I'd joke about myself before they could, laugh at their comments, make it into a whole thing. Slowly it became less "haha let's go bully that guy" and more like we were all just clowning around together.</t>
  </si>
  <si>
    <t>I remember seeing some guys from other classes always go and disturb this one boy Ming Ze during recess. He was on the bigger side and they'd say things to him, sometimes even throw stuff. In sec 1 and 2 he was always with his friends so it never seemed to affect him that much, they'd just ignore it and carry on.
This time was different though. His friend group got separated into different classes and I could tell he was more alone. The same guys started up again. But what I noticed was that he started handling it differently. He'd actually laugh along with them, make jokes about himself, join in almost. It was a bit unexpected at first but it seemed to work. Slowly those guys stopped coming around as much. I think once he stopped giving them the reaction they wanted they just lost interest.</t>
  </si>
  <si>
    <t>There was this period in sec 3 where I kept seeing the same group disturbing Ming Ze during breaks. They'd say stuff to him, and I remember thinking aiyah why they like that one. But what was interesting was after a while he just started owning it? Like he'd laugh along, say stuff back, turn it into a joke. It stopped feeling like bullying and more like they were all just messing around. Eventually those guys stopped targeting him altogether. Honestly kind of respect how he handled it, better than anything I would've thought to do.</t>
  </si>
  <si>
    <t>I only caught bits and pieces of what was going on but I knew those guys from other classes were giving Ming Ze a hard time since sec 1. Verbal stuff mostly but I saw them throw things at him a few times too. When they were all still in the same class group his friends would back him up and it didn't seem to bother him much.
After the streaming in sec 3 when everyone got reshuffled, I noticed he was dealing with it more on his own. But instead of just taking it, he started laughing with them. Like he flipped the whole script. Once he did that, the teasing didn't really have the same effect anymore and they slowly stopped bothering him. Smart move honestly.</t>
  </si>
  <si>
    <t>Okay so Dylan has been bullying me since primary school and somehow we ended up in the same secondary school AND the same class. I think he liked me but couldn't deal with it so he took it out on me instead. It started back in pri sch during music class when we had this random staring contest and it just never stopped after that.In sec sch I was really close with this group of guys in my class. We always joked around, talked about sx stuff, laughed at stories and stuff like that. We were like 13 or 14 so it was mostly just talking lah, nothing serious. I genuinely had a lot of fun with them.Then last week Dylan just opened his mouth in front of everyone and said I wasn't a virgin. Just like that. Said it was because I was always hanging out with the guys and laughing along with them, and made some disgusting comment about me. I was so shocked I didn't even know what to say. I wasn't laughing. I was hurt and I was angry and I just wanted to disappear.Later during basketball he pushed me to the floor. Like actually shoved me down. The guys in my friend group did stand up for me though, they told him off and helped me up and told me to just ignore him, which I appreciated even if it didn't fully undo how embarrassed and upset I felt.And that's not even everything. He also took my first ever Instagram photo, the one where I was trying to look cute lah, and spread it around the class to make fun of my face. He literally said I was "acting cute." I am so done with him honestly.</t>
  </si>
  <si>
    <t>There's this guy in our class Dylan who has had it out for this girl Hui Qi since primary school. Somehow they ended up in the same class again in sec sch and he just continued. I never really understood why he always targeted her specifically.
She's really close with a bunch of the guys in our class, like they're always joking around together and it's obvious they're just good friends. But last week he just stood up and said something super inappropriate about her in front of everyone, basically implying she wasn't a virgin because she hung out with the guys so much. It was not funny at all. You could see her face just drop. She looked really hurt and angry at the same time and honestly the whole vibe in the class went awkward immediately.
Then later during basketball he actually pushed her onto the floor. Like physically pushed her down. A few of the guys told him to back off and helped her up which was good at least, but still it was damn uncomfortable to watch. The fact that he even did that in the first place was just wrong lah.
Oh and he also screenshot her first Instagram post and was showing it around class making fun of how she looked, saying she was trying to act cute. I felt bad for her. She didn't do anything to deserve any of that.</t>
  </si>
  <si>
    <t>Honestly I always felt a bit bad whenever I saw what Dylan did to Hui Qi. They were from the same primary school and from what I heard he never really left her alone even back then. Getting put in the same sec sch class must have been a nightmare for her.
During one of our lessons, he just randomly made that comment about her in front of everyone. It was super vulgar and uncalled for. She looked like she wanted to cry and fight him at the same time. The guys in their friend group actually spoke up which I was glad about, and they helped her out during the basketball session too when he pushed her down. Like at least not everyone just stood by and did nothing I guess.
He also spread her Instagram photo around to make fun of her face. I saw people laughing at it and I just thought it was so childish and mean lah. She wasn't doing anything wrong, she was just posting a normal photo.</t>
  </si>
  <si>
    <t>Okay so when I was in sec 2 I had a boyfriend right. And apparently Rebecca was really into him. Like super obsessed. So what did she do? She gathered a whole big group of people and they all waited for me outside school after dismissal just to threaten me into breaking up with him. And honestly with that many people surrounding me what was I supposed to do, I just broke up with him lah. Damn sian.</t>
  </si>
  <si>
    <t>I remember seeing this whole group of girls gathering after school one day, like a really big group, and they were waiting for this one girl, Sam. Turned out it was because Rebecca liked Sam's boyfriend and basically wanted her out of the picture. They surrounded Sam and the whole vibe was very intimidating. Sam ended up breaking up with the guy after that. I mean with so many people coming for you like that what can you even do right. Felt quite bad for her lah.</t>
  </si>
  <si>
    <t>Okay honestly I will admit I half deserved what happened to me because I am very much an "I told you so" kind of person lah.So there was this gangster type guy called Ben in my sec school. We got off on the wrong foot straight away because he grabbed me by the collar and told me to meet him outside school. And I immediately went to tell the teachers. Our DMs were all ex police officers so yeah he got into trouble fast. After that he absolutely hated me. But then I kept provoking him back. Like when he threw food on me I would just say things like "wah you confirm going CWO soon because you're so dumb." And then when he actually did get CWO I looked him in the face and said "look who's headed for a world with no future." I know I know.Outside of school was worse though. Ben would see me on the bus and literally spit on the back of my head or throw bottles at me. He tried to punch me multiple times and one time he missed and ended up hitting my friend on the jaw instead. I told him if he kept this up he was going to end up in prison.So yeah. He was genuinely violent and it was a whole thing. But I also cannot pretend I wasn't adding fuel to the fire every single time lol.</t>
  </si>
  <si>
    <t>There's this guy called Colin n my class who I genuinely cannot tell if he is very brave or very suicidal. There's a known gangster in our school called Ben who grabbed him by the collar one day and told him to meet outside school. What did my guy do? Immediately went to tell the teachers. The DMs are all ex cops so the gangster kena big time and from then on he had a target on his back.The thing is Colin kept talking back. Like tBen would throw food on him and he would literally say "you're going CWO soon cause you're dumb." And when Ben actually did CWO Colin went up to him and said "see, world without a future." Bro I was watching from the side like please stop talking lah.Outside school also got drama. I heard Ben spit on him and threw bottles at him on the bus. At some point he tried to punch Colin but missed and hit his friend on the jaw instead. And even after all that my classmate STILL told Ben he was on track for prison. This guy really cannot help himself.</t>
  </si>
  <si>
    <t>I just got punched on the jaw yesterday. Ben had beef with my friend Colin since forever because he told the teachers the moment Ben grabbed him by the collar. Which honestly fair enough but also Colin kept making it worse by saying things like "you'll be doing CWO" and then actually going up to him when he did CWO to rub it in. I was standing there like bro why are you like this.
Then one day on the bus Ben tried to punch Colin and I was just in the wrong place and got clocked on the jaw instead. Damn pain sia. Because of my friend's big mouth. And you know what Colin said after? He told Ben he was on track for prison. I wanted to facepalm so hard. Like yes Ben is in the wrong for being violent but my friend really did not make things easy for himself or for me honestly.</t>
  </si>
  <si>
    <t xml:space="preserve">I keep getting bullied and the sad thing is I didn't even fully realise how bad it was at the time.
Everytime during class, people just keep punching me out of nowhere. And then because I wanted so badly to fit in with the more playful and popular kids I ended up letting them use me as like a practice dummy for WWE wrestling moves. Finishers and everything. I just wanted to be included so I went along with it even though it was not fun at all.
</t>
  </si>
  <si>
    <t>In class there's a guy called Hong Siang who really just wanted to fit in with everyone. He kept hanging around the more playful group of boys and honestly they were quite rough with him. Like they would randomly punch him between classes and also use him for WWE wrestling moves. Full finishers. And he would just go along with it because I think he thought that was how you made friends.</t>
  </si>
  <si>
    <t>Clara basically made my life hell just because my old bestie Pei Xuan and I got close again after we ended up in the same class. Like, we drifted for a while but then we started talking again, and I guess she didn't like that at all.
So Clara started targeting me. I don't even want to go into the details but whatever she did really broke me down sia. I used to be already quite shy and awkward, and after that I just became even worse. I would overthink everything, scared to talk to people, scared to go to school even. My mum noticed I wasn't myself but I didn't know how to explain it to her.</t>
  </si>
  <si>
    <t>I am in the same class as Bernice and honestly I felt quite bad because I could see what was going on but I didn't know how to step in.
The whole thing started because Pei Xuan got closer again to Bernice. Like they were old friends who reconnected, but Clara just couldn't accept it I guess. She started doing things, spreading stuff, being cold and making others cold towards Bernice too. The kind of bullying that's hard to "prove" but you can feel the whole vibe of it.
Bernice is already very quiet and shy one, so she just kind of shrunk even more. You could tell she was struggling but she never said anything. I regret not saying anything either tbh. I was scared of being the next target.</t>
  </si>
  <si>
    <t>I only knew about it after the fact because my friend Bernice told me, but apparently it was quite bad throughout.
From what I understand the whole drama started over friendships, like Clara felt threatened that her bestie Pei Xuan was reconnecting with Bernice. Very jialat lah, to bully someone just because of that.
I see Bernice around school sometimes and she seems okay on the outside but I think she's still quite affected. Like she's very guarded and doesn't really open up easily. It's sad because she was already quite shy to begin with, and now it's even harder for her to trust people. Hope she gets better soon.</t>
  </si>
  <si>
    <t>Pri sch was honestly quite a rough time for me. I don't look very "manly" I guess, like I have bigger eyes and longer eyelashes compared to most guys, and people would use that to come at me. The word "gay" got thrown at me a lot, just because of how I look. Didn't matter that it wasn't even true, they just wanted something to use against me.
After PSLE finished they stopped luckily. Maybe they stressed...</t>
  </si>
  <si>
    <t>This whole year Lucas tio marked by the other guys in class. They would make comments about his eyes and eyelashes, call him gay, that kind of thing. Even laugh about it in front of him. It was damn uncomfortable to watch and I don't think I said enough back then to stop it.
He never really reacted much on the surface, just kind of brushed it off or ignored them, but I think inside it must have been quite draining to deal with every day.
After PSLE the bullies moved on and I think they stopped.</t>
  </si>
  <si>
    <t>Honestly I don't even know where to start. Nicholas was the one who started everything. Slowly got the others to gang up on me, like all these "jokes" that weren't really jokes lah. Put me down in front of everyone, make me look stupid, and somehow I was still supposed to be leading the group? Shiok for him right, sit back and watch me struggle while he poisons everyone against me. The worst part is he never said sorry. Not once. Like zero accountability. And now??? Now he has the audacity to start some anti bullying podcast and some advocacy thing on tiktok, talking about life lessons as if he is so wise and philosophical like that. I see his content and I actually cannot. The person who made my life so toxic is out here acting like he is some kind of mentor. I don't know whether to laugh or cry sia.</t>
  </si>
  <si>
    <t xml:space="preserve">Got this one guy in our group Nicholas, always act very close to everyone but behind the scenes he keep nudging people to say stuff to Kok Peng. Like whisper here whisper there, until slowly the whole vibe just turned very sour. The one being targeted was supposed to be leading us somemore, but how to lead when everyone keeps cracking "jokes" at your expense? Not funny one, but nobody wanted to be the next target so everyone just go along with it. Quite funny ah this Nicholas started some tiktok about anti bullying. Even got a whole advocacy group. I was shook when I found out. </t>
  </si>
  <si>
    <t xml:space="preserve">I rmb feeling very uncomfortable during recess because Kok Peng kept getting taunted. One guy, Nicholas kept making these snide little comments toward him, then slowly the rest started joining in. Felt like a slow burn kind of thing, not one big incident but everyday got something. Death by a thousand cuts type of situation.
I never said anything and honestly that still bugs me. But I also didn't want to become the next target so I just kept quiet. Kok Peng never showed how much it affected them but you could tell lah. Now I see Nicholas online talking about bullying awareness and doing coaching  which is crazyyy. </t>
  </si>
  <si>
    <t>Every. Single. Day. Got people coming for me, same age and older ones also. A lot of it was about my weight, always calling me fat this fat that. But honestly I think the real reason they kept targeting me was because I never just tahan and keep quiet. I don't take rubbish from anyone and they couldn't stand that.
My reaction every time was to just fight back, and physically I held my own against most of them, literally ragdolled a few of them lol. But then one time this Sec 5 rugby player decided to get involved and punched me in the face just because I stood up to him. Like ok noted, size difference is real. But even then I didn't regret standing up. I was not about to let people walk all over me even if it meant getting hit.</t>
  </si>
  <si>
    <t>There was this person in my cohort Xavier who got targeted basically every day. People kept making fat jokes, which was already damn mean, but I think the real reason they wouldn't leave this person alone was because they never backed down. Never cried, never begged them to stop, always clapped back or straight up fought back physically.
I saw a few of the confrontations and honestly the bullies got more than they bargained for most of the time lmao. But the one that really stuck with me was when this Sec 5 rugby player got involved. This guy was damn buff, and he just punched Xavier in the face for standing up to him. The whole thing was damn jialat to watch. But even after that Xavier didn't break. I had quite a lot of respect for that tbh.</t>
  </si>
  <si>
    <t>Me and Eunice used to be quite close leh, then suddenly everything went sour. Out of nowhere she started picking on me and laughing at me for no reason in ITE. Like what did I even do?? When I finally went up to her and asked her what her problem was, she just said "nothing" and ran away. Then continued doing the same thing to me after.
The worst part was when she played the pity card and told everyone that I was the one bullying her. It was literally just a miscommunication but she spun the whole thing and got everyone to side her. I even swallowed my pride and apologised, tried to be the bigger person, but she ignored me and ran away again. Like I already said sorry what more do you want.
She last time did the exact same thing to another girl in our class. On top of that she was being quite racist somemore. The whole class already couldn't stand her lah, except her boyfriend.</t>
  </si>
  <si>
    <t>From what I know Eunice and Wan Ling used to be friends but things turned very bitter between them. Eunice started picking on Wan Ling and laughing at her for no reason in ITE. When Wan Ling finally confronted her about it Eunice just said nothing and bolted. Then kept doing the same thing like nothing happened.
Then she turned around and told people that Wan Ling was the one bullying her?? It was apparently just a miscom but she milked it until almost everyone sided her. Wan Ling even apologised to try to settle things but she just ignored her and walked off again. I felt quite bad watching that honestly.
I rmb Eunice did this before, someore also being quite racist. Most of the class already don't like her by now, only her boyfriend still on her side. Some people never change sia.</t>
  </si>
  <si>
    <t xml:space="preserve">Eunice and Wan Ling used to be friends but things turned very bitter between them. One day Eunice started picking on my classmate and laughing at her for no reason in ITE. When my classmate finally confronted her about it Eunice just said nothing and bolted. Then kept doing the same thing like nothing happened.
Next thing Eunice said Wan Ling bully her. It was apparently just a miscom but she milked it until almost everyone sided her. My classmate even apologised to try to settle things but she just ignored her and walked off again. </t>
  </si>
  <si>
    <t>I am a bit chubby, and Mike and his clique decided to make that their problem. Since I'm a girl the bullying wasn't super violent or anything but it was still very annoying and uncomfortable lah. They would bang my desk or kick my bag, that kind of petty stuff. Yesterday, I met a few other girls who were also on the chubbier side and we just clicked and formed our own little clique. At least got people who understood what it felt like.</t>
  </si>
  <si>
    <t>Got some guys in our primary school class who kept picking on  Clarice because she was chubby. Not like super aggressive but they would bang her desk or kick her bag, the kind of thing that seems small but happens enough times to really get to you. Glad she found her group  of friends now, at least got backup</t>
  </si>
  <si>
    <t>I don't even know how to talk about this properly. What happened to me was not just some normal bullying thing. Before that video that everyone has been sharing even started, those idiots had already strangled me and beaten me up along the stairway in school. They wouldn't let go, that's the part everyone saw in the video. But nobody saw what happened before that.My mum took photos of the marks on my neck. I just want people to know the full story because the video only shows part of what they did to me.</t>
  </si>
  <si>
    <t>I heard from people that before that video even started, those boys were already attacking Matthew on the staircase. Like strangling him and beating him up. The video is literally only the second part of what happened.
His mum posted photos of the marks on his neck and it was quite bad lah. This was a whole assault, not just some shoving or whatever. Hope the school actually does something about it.</t>
  </si>
  <si>
    <t>Everyone keeps sharing that one video so I better report faster also. Those boys had already cornered Matthew at the stairway before that, strangled him and beat him up. The video that went viral only shows after all that had already happened and they still wouldn't let go of him.
His mum shared the photos of the marks on his neck. Seeing that was quite shocking honestly. He kena quite bad sia.</t>
  </si>
  <si>
    <t>Ahmad and Qian Hua actually broke my leg. Like they full on assaulted me until my leg broke. But the thing that really stuck with me was what my classmates did after. The whole class, like literally 20 to 40 people, surrounded those two guys during recess and told them straight up to back off. Not to hurt anyone anymore. I never felt so supported in my life lah, knowing my whole class had my back like that.</t>
  </si>
  <si>
    <t xml:space="preserve">Yesterday, Ahmad and Qian Hua assaulted Roger and actually broke his leg. When we found out, the whole class just decided we were not going to let that slide. During recess we gathered everyone and went to confront them, ended up being like 20 to 40 of us surrounding 2 of them. We told them straight to their faces to stop bullying our friend. </t>
  </si>
  <si>
    <t xml:space="preserve">I saw firsthand how the whole class rallied when those bullies Ahmad and Qian Hua broke Roger's leg. 20 to 40 of us just showed up during recess and surrounded those three boys. No fighting or anything, just made it very clear that what they did was not okay and they better not touch our friend again.
</t>
  </si>
  <si>
    <t>I think I became an easy target because I'm quite small sized and also more on the introverted side. Not the type to fight back or make noise. So Alan and Hafiz just kept coming for me.But the part that really broke me was what happened at home. My mum is a narcissist and she straight up refused to believe me when I told her what was going on. She thought I was getting into fights and making up excuses to skip school. So instead of helping me, she caned me. Like I was already getting beaten up in school and then I go home and kena again. Injury on top of injury, literally.The teachers also never did anything. I think maybe because Alan and Hafiz come from families with connections and influence, so the teachers just chose to look away. No way to expose what was happening, no way to get help. Nothing.I dread going to school every single day. Hated it more than anything. There is nowhere safe, not school, not home. The people who were supposed to protect me, my parents, my teachers, all of them just didn't care. I feel completely defenseless and I wonder about being suicidal.</t>
  </si>
  <si>
    <t xml:space="preserve">There was this classmate of mine Fikri who was pretty small and quite quiet, the kind of person who never really caused trouble or drew attention to himself. Precisely because of that he kept getting targeted.I heard at some point that he tried telling his mum about it but caned him cos she thought he was lying to get out of going to school, like he's already going through so much and then he goes home to that.The teachers also just kept quiet throughout. Some people said it was because the bullies had parents with influence. </t>
  </si>
  <si>
    <t>Fikri was small and introverted so Alan and Hafiz thought they could push him around. What made it worse was that teachers saw what was happening and said nothing. His mum apparently thought he was faking it and making excuses and caned him instead of helping him.</t>
  </si>
  <si>
    <t>These two guys Rai and Jai in my class were classic attention seekers lah, keep coming for me.
They flex about going to the gym or doing Muay Thai, like okay good for you. Then they'd shove me and get into their little Muay Thai stances and go "come lah, fight lah" right in my face. So childish but also genuinely quite threatening. Then come the "let's settle this outside" talk. And if that wasn't enough they'd start boasting about their weapons, telling me things like "you never see my parang or samurai yet" like they were in some movie. Every day also got this kind of rubbish to deal with.</t>
  </si>
  <si>
    <t>Got these two twins in class Rai and Jai who always bullying Stanley. They keep pushing him and going into Muay Thai poses while saying things like "come lah fight lah". Always talking about settling things outside. Then they'd start with the weapon talk, bragging about having a parang or samurai as if that was supposed to impress anyone. It was very uncomfortable to watch and honestly a bit scary too because you never fully know if these people are serious or not.</t>
  </si>
  <si>
    <t>Honestly I don't even know where to start but Shiva and Kumar made school damn miserable for me. They'd talk among themselves in their own language right in front of me, then burst out laughing, and I just knew they were talking about me lah. Like that kind of feeling very uncomfortable one, you know? Cannot prove anything but you just know.
Then sometimes they'd actually come up to me and hit me or put stuff on me, and when I got upset they'd be like "Eh brother, joke only lah, why so serious?" As if that makes it okay. I'm supposed to just laugh along meh? Every time I felt like saying something they'd warn me not to tell Mr. Lim, say if I do they'll make things even worse for me. So I just kept quiet lor, what else can I do.
The worst part was when they'd act all friendly suddenly, come ask me personal questions, weird ones some more. And I stupidly answered because I thought maybe they genuinely wanted to know. Then the next thing I know the whole class knows everything, and they'd be shouting "Macam this guy! Hahaha" super loudly. So embarrassing sia. Like I was just some joke to them the whole time.</t>
  </si>
  <si>
    <t xml:space="preserve">Aiya I feel bad that I never did anything but I really didn't know how to step in lah. This Shiva and Kumar damn joker, they always target Boon Kia. Like they'd huddle together and whisper in front of him then suddenly burst out laughing and looking at him, so obvious they were making fun of him leh.
Sometimes they'd go up to him and hit him or put things on him, then act innocent like "Eh brother joke only lah why so serious." The guy's face I tell you, you can see he very uncomfortable but he cannot say anything. Because these people already warned him not to go tell Mr Lim, say they'll make it worse if he does. Heng suay jialat sia
The thing that made me most jialat was watching them pretend to be friendly, go ask Boon Kia all these personal and weird questions. Then they go around telling the whole class and mock him super loudly "Macam this guy! Hahaha." Everyone laughed along. I didn't laugh but I also didn't say anything and honestly that also not right on my part sia.
</t>
  </si>
  <si>
    <t>I sit near Boon Kia in class so I see everything one. Those two clowns they think very funny lah, always speaking in their own language and then laughing and staring at him until it's duh who they talking about. He just sit there and pretend not to notice but confirm he notice one.
Got one time they walk over and hit him, just like that, put stuff on him also, then when he reacted they say joke only lah don't be so sensitive. I was like huh, you hit someone that's a joke meh. But I also scared to say anything because they're the type that'll turn on you too.
They even tell him don't go report to Mr Lim or else. So he kena trapped like that. The part that really got me was they'd go act nice, ask him questions about himself, then blast everything to the whole class and shout "Macam this guy!" super loud. Whole class laughing at him. I could see his face drop. I really should have said something but at that point I also froze. Still feel guilty about it now tbh.</t>
  </si>
  <si>
    <t>I’m the class rep but honestly it just feels like I'm constantly targeted by my own form teacher. She’s never happy with anything I do. Even when I just try to tie my hair properly, she calls me vain in front of everyone. Then she keeps saying I’m lazy, inconsiderate and inefficient cos I don’t run early to unlock the classrooms, when in truth every other class also didn’t do that. 
That day after event day, someone left a used tissue paper on her table. She got super mad and made a huge fuss about it and refused to start class until the person owned up. I felt bad for everyone so I tried to step in and apologise on behalf of the class but she just yelled at me to shut up. Then she kept dragging the whole thing, berating us non stop and wasting everyone’s time. I just stood there feeling so humiliated.</t>
  </si>
  <si>
    <t>The teacher keeps picking on our class rep for small things, like even tying her hair also get called vain. It’s quite unfair because she actually does her job properly but the teacher always say she lazy and inefficient. That day someone accidentally left a used tissue on the table after event day, and she got super angry. She refused to start class and kept asking who did it. Our class rep tried to apologise for everyone to calm things down, but the teacher just yelled at her in front of all of us. The whole class just sat there while cher kept scolding. Honestly it felt like she was targeting her.</t>
  </si>
  <si>
    <t>Some people started saying my mother wasn’t actually my mother. At first I thought it was just a joke but then it kept spreading around. More people started repeating it like it was real. I don’t know how to react and honestly I feel damn stupid. Like why are they saying this kind of thing. It made me really uncomfortable and I didn’t even know how to defend myself.</t>
  </si>
  <si>
    <t>There was this rumour going around that this girl’s mum wasn’t actually her mum. Some people started it and then others just followed, spreading it everywhere. You could tell she felt really bad about it. She looked confused and embarrassed, and honestly it was quite mean. It didn’t even make sense but people still kept saying it.</t>
  </si>
  <si>
    <t>The guys in my class are super mean, like those paikia type. They like to pick on the non-popular ones in class all the time and make fun of them. I'm really ugly, plus I’m quiet and shy, so I guess I'm an easy target for them. I’m skinny, short, and my face got a lot of acne, and they keep making fun of all that. Whenever I walk past or when I'm just minding my own business, they will giggle or make those laughing sounds at me. It happens so often since last year that I just expect it already. It doesn't help that I'm also not very sociable and quite awkward, so people see me as some outcast. To them I’m just some weirdo they can laugh at anytime.</t>
  </si>
  <si>
    <t>Hi I really don’t know what to feel or what to do. I feel like my friend group kind of hates me and it’s been going on quite often. There are 6 of us including me, but they always talk and joke with each other and go out to eat without inviting me. Sometimes I ask if I can join then they include me, but if I don’t ask, they won’t. They do not talk to me online and only offline. They don’t really talk to me unless I talk to them. They never text me or ask me to play games, like I’m not even in their mind. I really didn’t do anything to upset them. In fact I feel like I help them more than normal friends would. It just makes me feel like maybe they don’t even want me there but I also don’t want to distance myself because one of them has been my friend the longest, and now because of this group he also barely talks to me anymore.</t>
  </si>
  <si>
    <t>There’s this classmate who sits beside me and he is mean to me very often. He keeps saying really hurtful things, like telling me I have no dad even though that’s not true. He also constantly keeps saying things like women have no rights and just keeps teasing me until I feel really sad. I usually just laugh it off so people don’t think I care. Today it got worse. He told me straight up that he isn’t my friend and only talks to me for entertainment. Honestly I already kind of knew that and I was okay with it. But then he kept going on about how I don’t have a dad and when I said it’s not true, he just said he dun care. Every time I try to say anything, he always has something nasty to say back. He also called me stupid and said my English is said my english is bad as f**k... I replied that his other subjects also not good except English, and then things became very tense. During English class I sometimes copy his work to save time, which I know is wrong, and he used that against me, saying without him I can’t even do my work. We kept arguing until the end of the lesson. I just felt very cold inside. I’ve been feeling like this a lot this year, like scared and worried. What makes it worse is that he’s my table partner sitting right beside me, so I keep thinking he could do something to me anytime!</t>
  </si>
  <si>
    <t>I sit near them in class and I’ve noticed this guy is quite mean to his table partner very frequently. He keeps making comments about her not having a dad, even though she said it’s not true. He also says quite offensive things and keeps teasing her until she looks uncomfortable, but she usually just laughs it off. Today I saw things escalate. He told her he isn’t her friend and only talks to her for entertainment. After that he continued making more hurtful comments and didn’t care even when she tried to explain. Then they started arguing about studies. He called her stupid and the whole thing became quite tense and they kept disagreeing until the lesson ended. After that she looked quite shaken. Since they are table partners, it’s quite worrying because this kind of behaviour is happening again and again.</t>
  </si>
  <si>
    <t>I know I didn’t do anything wrong, and this situation has been going on for quite some time already. I haven’t spoken or texted them for over a month, but not because I’m angry. It’s because they started avoiding me first. The last time we talked, we were literally playing games together the whole night, just the two of us, so it doesn’t make sense to me.they started ignoring me and avoiding me. After that, they started ignoring me and avoiding me more and more. Then suddenly they blocked me everywhere online without even telling me what I did wrong. At first when they ignored me, I thought it was normal because last time when I felt very depressed, I also used to cut people off. So I assumed they just needed space. But now it just feels like they’ve been secretly hating me this whole time.</t>
  </si>
  <si>
    <t xml:space="preserve">I honestly thought for quite a while about writing this because it might make things worse for me, but I feel really lost right now. Someone has been cyberbullying me quite frequently, not just once or twice. They keep posting things telling me to go and end my life, and also take the exact words I use in my own posts just to mock and taunt me. Recently things got a bit confusing because they also started sharing about their own struggles online, but they are still using the same words I use in my posts. So it feels very uncomfortable and unsettling because it’s like the same person who told me to die is still constantly watching what I do. </t>
  </si>
  <si>
    <t>People in my main class are really mean to me and I feel like a lot of them dislike me, not just one or two people but the majority of the class. This has been happening all the time and I’ve never experienced something like this before. It just feels very toxic and I’m honestly quite scared going to class because it feels like I don’t really belong there. I don’t really know how to deal with it or where to get support.</t>
  </si>
  <si>
    <t>From what I see in class, there is quite a strong sense of dislike towards one student from many classmates, and it happens repeatedly. It’s not just a few people but quite a large part of the class involved. The atmosphere feels very tense and the student seems quite affected and uneasy most of the time. It really gives off a toxic environment overall and it’s quite worrying to observe.</t>
  </si>
  <si>
    <t>I have a few friends from primary school but they didn’t come to my current secondary school, so now I don’t really have friends here. My classmates have been saying really nasty things about me, like claiming my grandmother got hit by a car (not true). This kind of rumour gets spread quite frequently and it went around the whole cohort, so now a lot of people think that way. It’s been happening quite often and it really affects me because I already feel very alone. Also recently I got 36 out of 100 for my overall in Sec 2 and I broke down and cried for about 2 hours in the classroom and even that got spread around again by others.</t>
  </si>
  <si>
    <t>From what I’ve seen, there are quite a lot of rumours and gossip surrounding this student and it happens repeatedly. She doesn’t really have close friends in school and often keeps to herself. One of the rumours was about her grandmother being hit by a car, which was not true but still spread widely across the cohort. Another time, after she got her exam results and cried in class for a long time, that situation also got talked about again and spread. It feels like she gets targeted quite frequently.</t>
  </si>
  <si>
    <t>Yesterday I got into a physical fight with my classmate during consultation. I don’t really want to go into how it started, but I just want to share my feelings about it. I usually never get involved in fights and I always try to avoid trouble. The fight really left a deep and traumatic impact on me. Since I am in a religious school, we wore scarves, and during the fight she pulled my scarf first, so I also reacted. She also used manipulative phrases like saying I was “playing the victim” and forced me to apologise. I already apologised WAY before the fight, because I don’t like being forced into it and I avoid being a people pleaser. Now I really don’t want to go to school because of her, even though I still want to learn and attend lessons. Luckily I am on MC today and tomorrow because both my right ankles are terribly swollen. I had to go to the hospital to put on a cast and use crutches. The rest at home gave me some time to calm down after the incident, which was really scary.</t>
  </si>
  <si>
    <t xml:space="preserve">Yesterday there was a physical fight between two classmates during consultation. During the fight both of them were wearing scarves and one of them pulled the other’s scarf first, and the other one reacted too. One of them also said things like the other was “playing the victim” and was pressurising her to apologise. After the incident, one of them had very swollen ankles and had to go to the hospital. She seemed very shaken. </t>
  </si>
  <si>
    <t>I saw the fight that happened yesterday during consultation and it was quite serious. Both students got physically involved and it escalated from scarf pulling. There was also some heated exchanges where one party accused the other of “playing the victim”. After that, one of them ended up with swollen ankles on both sides, went to hospital, got a cast and is now using crutches. Even though it was a single incident, the impact on her seems quite severe.</t>
  </si>
  <si>
    <t>I just joined this school last April and at first I really struggled a lot. I used to sit alone in the bathroom and I had no friends at all. After June holidays I came back and became really close with this girl. At a birthday party, which was a sleepover with her and some other girls, she pulled one of the girls aside and said I couldn’t come, so I got kicked out. After that she even told the other gir that I went through her closet so I had to clear that up. The following week, everyone started ignoring me, especially her. Then she blocked me everywhere and started hanging out with the popular girls, basically kicking me out of the friend group I got her into. Now I’m really lonely, I have no one to eat lunch which is quite embarrassing. This has been happening quite often lately and I’m thinking of changing schools.</t>
  </si>
  <si>
    <t>My schoolmates bully me quite often because of my weight. There is another guy with the same name as me, and people would call me the ugly version of him. I also constantly get called ugly, gay boy, and big foot in class but the teachers didn’t really do anything. One of my guy friends went into my phone and found personal stuff like clips of me singing, and he started circulating it around the school. Many people ended up having the recording and will play it whenever I walk past. A  group of Malay kids also kicked me in the stomach sometimes after I defended myself during the bullying. I’m now afraid of talking to people.</t>
  </si>
  <si>
    <t>From what I saw in school, the bullying towards him happened on a regular basis. He was frequently teased about his weight and appearance, as well as other insults like ugly and big foot. People also repeatedly humiliated him by playing the recording of him singing at him every time he passed by. There was also a physical incident where he was kicked in the stomach by a group of students after he defended himself.</t>
  </si>
  <si>
    <t>People in my class formed gangs and they call me smelly, stinky, black and whatnot. Making fun of me was their jolly pass time. I even got pinched and beaten up a few times. No one wanted to partner with me in school activities and if the teacher randomly paired me with someone, that person would also start making fun of me, and then others would laugh and join in too. I walk around school alone trying to avoid the bullies. Even outside school, I'm scared of running into my classmates around the neighbourhood and I cry every day after school.</t>
  </si>
  <si>
    <t xml:space="preserve">They would tease him with names like smelly and stinky and sometimes physically pinch or beat him. In class activities, he was often left out and nobody wanted to work with him. When he was forced into groups, others would also start mocking him, and it would spread to more students. He mostly walks alone in school and avoids everyone. </t>
  </si>
  <si>
    <t>I am targeted by 2 to 3 people quite frequently. My stationery will get stolen on a regular basis, and my school shoes even got thrown into the dustbin before. I also got pushed a lot of times, and one of the bullies even actively try to expose me for playing truancy even though I wasn’t skipping school. It got so bad that he even went to my house and shouted outside saying  "[my name] is a master of truancy by skipping school all the time". There was also a really hurtful incident when my grandfather passed away. But when I came back, this guy approached me and said  "Dont pretend that your grandfather is dead, you only used that excuse to skip school as usual".</t>
  </si>
  <si>
    <t>I get cyberbullied quite often, and people keep calling me ugly because I have really bad teeth. This girl who was behind it and even told me she would bring her “gang” down to confront me and stuff, but in the end nothing happened because it was all fake. It turned out the whole thing was from some random fake account that were my "friends" hating on me for no reason. Crazy.</t>
  </si>
  <si>
    <t xml:space="preserve">I think I'm quite stupid, so I got ignored quite often and people will lie to me and gaslight me for my money because I get slightly more pocket money than them. My "friend" will occasionally threaten me with things and I get really scared because I kept thinking my parents will get involved and I would get into trouble. </t>
  </si>
  <si>
    <t xml:space="preserve">I was singled out very often, almost to the point I cried myself to sleep at night because I felt scared, and that eventually made my parents notice. I'm very shy, didn’t think I'm good looking, and I wear specs so I always felt like I looked like a nerd, and I got picked on constantly because of that. During recess, the bullies will take money from my wallet so sometimes I only drink water from the water cooler or I just sit somewhere quiet with fewer people. I'm not close to anyone in school at all. Even school rules made things worse because I had to tuck in my shirt, so even the girls looked down on me like talking to me with hostility or even help the bulliesto bully me too (snatching my pencil case, bag, water bottle and textbooks). </t>
  </si>
  <si>
    <t>During recess, there were times where his money was taken, and he would end up sitting alone or just drinking water without proper food. He also seems very withdrawn and doesn't have close friends in school. There were also incidents where other students would take his things or treat him with hostility. It kept happening repeatedly and he looked very affected.</t>
  </si>
  <si>
    <t>I'm in NCC CCA which has a lot of paikia. They think im weak (skimny, short and smol is a horrible combo). That made me an easy target. I'm being ostracised and looked down on by the express group since I’m in NA. They would give me that disgusting look, keep harping on my mistakes and even try to use rank to put me down, which was very annoying lol. An NT Malay gang likes to think they are above all and will also do verbal bullying like calling me names and shouting my name just to humiliate me and get my attention. There is also frequent light physical bullying like pinching and twisting my nipples, hitting my head, shooting objects at me and taking my stuff. Luckily it never got to extreme beatings...</t>
  </si>
  <si>
    <t>In NCC CCA, there is a student who getspicked on quite frequently and it happens regularly during training. One group from the express cohort would ostracise him and look down on him, often using rank and constantly pointing out his mistakes in a very condescending way. Another group, an NT Malay group, would also engage in verbal bullying like shouting his name , and sometimes even light physical actions like pinching, hitting his head, throwing objects and taking his belongings.</t>
  </si>
  <si>
    <t>It all started in P3 and has been going on for almost one whole year already. Some of the boys in my class keep saying they were “pranking” me, but actually they were the ones disturbing me and then pretending I was the one doing it. One of them would kick me or flick the back of my head quite frequently, and and when I ask them to stop (quite loudly) they just continue. They will even steal my stationery and claim it is theirs. Till today I still never got it back, and it happens so often that I just stop expecting to see my things again. I really dread going to school every single day. People also called me names like autistic and LKY, and they always try to exclude me from other classmates. They even tried doing weird things like sticking out their hands to grope me in the toilet cubicles (I strategically managed to climb up onto the toilet bowl and when it struck again I used my full strength and stepped on his arm, never felt bad about it). There was also an incident where I was almost pushed down the stairs by another bully called Goh (nickname).</t>
  </si>
  <si>
    <t xml:space="preserve">This student got bullied quite frequently by a group of boys since P3 until now and it went on for almost a whole year. I saw them often kick him or flick the back of his head and then claim it was just pranks. His stationery also got stolen multiple times. There were also hurtful name calling incidents like them calling him autistic, and he was often excluded from the rest of the class. I also heard about some very inappropriate behaviour in the toilet where they did funny things to him. </t>
  </si>
  <si>
    <t xml:space="preserve">There is a student who is getting targeted for almost the whole year. This group of boys would kick him, flick his head, and steal his stationery while pretending it was a joke. He was also often called names and excluded from class group activities. There were also more serious incidents like that time when I saw one of the bullies almost push him down the stairs. </t>
  </si>
  <si>
    <t>I am a victim of bullying in school. The bullying I’m experiencing in school right now isn’t all that serious, currently it’s only name calling and social exclusion but it still hurts. It feels so pathetic for me to feel hurt by just simple words of hate coming from my peers because I lack the confidence to stand up for myself. No matter how much I want to confront these bullies, I know damn well that I’d stutter as I’m not very good at articulating my thoughts. I desperately want to seek help and put a stop to this because it has affected my daily life. I can’t put my phone down and go to sleep because I am afraid that the moment I lay down and try to fall asleep, I would start to think about the bullying and how much it hurts me.</t>
  </si>
  <si>
    <t>Recently during PE and also in class, I got teased quite a few times about my appearance, like my size. It happened over a few days, not just once. Every time they said it, I felt quite paiseh and didn’t know what to say. Now I just keep quiet most of the time and don’t really talk to others anymore.</t>
  </si>
  <si>
    <t>I am in an upper primary class and recently during a performance practice, all the other boys kept saying nasty things about me. I think sometimes I get angry easily but I don’t feel like I deserved what they did. They didn’t want to sit near me at all and kept moving away. Some of them even kicked me. It happened a few times and I felt very angry and also quite hurt. The teacher only stepped in when small fights started and just told them to stop, but after that everything just continued again.
.</t>
  </si>
  <si>
    <t>During group work today, one of the boys called me stupid when we were discussing the answers. It wasn’t a big argument, but I felt quite affected when he said it. After that, I just kept quiet and didn’t really contribute for the rest of the activity.</t>
  </si>
  <si>
    <t xml:space="preserve">During recess outside the class, I went to confront the group who took my country flag erasers and pencil case earlier. They denied everything again and started forming a circle around me. They called me names and kept laughing at me. I felt very scared and overwhelmed and ended up crying. After that, they tried to snatch my lunch money, which made me panic even more.
</t>
  </si>
  <si>
    <t xml:space="preserve">
During recess, I saw a group of students surrounding one boy outside the class. They were calling him names and not letting him leave. He looked very stressed and started crying. After that, some of them tried to take his money, and the situation became more serious.</t>
  </si>
  <si>
    <t xml:space="preserve">Recently in class, someone put staples on my chair before I sat down. I only noticed it when I was about to sit, and it made me feel quite scared and unsafe. This kind of thing has been happening together with other harassment. During recess, I also keep receiving notes with mean things written on them. Because of this, I usually spend most of my recess alone or only with a few friends I trust. I feel quite isolated.
</t>
  </si>
  <si>
    <t>I didn’t see who did it, but I saw staples on a student’s chair in class and it seemed intentional. I also heard that he has been receiving notes during recess that are meant to disturb him. Now he mostly stays by himself or with a few close friends during recess and doesn’t interact with the rest of the class much.</t>
  </si>
  <si>
    <t xml:space="preserve">In school, people keep making fun of me because I wear braces. They say I talk funny whenever I speak in class. I also usually have two braids with centre parted hair, and some boys keep commenting on that. They laugh at me for my skirt being below my knees and also point out my leg hair. It happens quite often and makes me feel very self conscious and embarrassed.
</t>
  </si>
  <si>
    <t>I didn’t see everything, but I heard some boys making comments about a girl’s appearance. They were talking about her skirt being too long and laughing. She looked quite uncomfortable and didn’t respond.</t>
  </si>
  <si>
    <t>Just now in class, I got hit on my lip with a small portable whiteboard. He said it was because I splashed water on him after stepping on a puddle earlier. I didn’t expect him to react like that. It really hurt and I felt quite shocked and scared after it happened.</t>
  </si>
  <si>
    <t>During class, I got hit on the lip by someone using a small portable whiteboard. It happened because he said I splashed water onto him after stepping on a puddle. It hurt and I felt quite shocked because I didn’t expect him to react like that.</t>
  </si>
  <si>
    <t xml:space="preserve">During class discussion, I tried to speak up even though I usually don’t talk much. I was already very nervous and my heart was beating very fast, and I started to stutter. When I was talking, one boy told me to stop talking and said I was being an attention seeker. After that, I felt very embarrassed and just kept quiet for the rest of the lesson. Now I don’t feel like speaking up anymore.
</t>
  </si>
  <si>
    <t>I was in the same class when this happened. One student was trying to contribute to the discussion but seemed quite nervous and was stuttering. Then another boy told him to stop talking and called him an attention seeker. After that, he became very quiet and didn’t speak again.</t>
  </si>
  <si>
    <t>After school, I got bullied by an older boy over a basketball. He snatched my basketball, so I went up to him to ask for it back. He refused and suddenly started beating me up. His group of friends just stood there watching. He even used the basketball and smashed it into my torso. It hurt a lot and I felt very scared and helpless. One of them even shouted at me to go home to my mother, which made me feel even more humiliated.</t>
  </si>
  <si>
    <t>During break, a senior came up to me and asked if there was any butter left. I said no. Then he asked me to give him my bread, and I refused. He kept smiling and repeatedly asked if I was sure. I felt quite pressured but I still said no. After that, he said “alright, whatever” and started walking away. As he walked past me, he suddenly slapped my hand and my bread dropped onto the floor buttered side down. I felt shocked and quite upset.</t>
  </si>
  <si>
    <t>I was nearby when a senior approached a student and asked him about butter. After that, the senior asked for his bread but the student refused. The senior kept asking him again and again, even though he already said no. When the senior walked away, he suddenly slapped the student’s hand and caused the bread to fall onto the floor. It seemed intentional.</t>
  </si>
  <si>
    <t>Recently, there are two main boys who keep targeting me. They would use me to try out wrestling moves they probably saw the night before on WWE. It happens more than once and I don’t really have a choice when they do it. I feel quite scared and uncomfortable when it happens.</t>
  </si>
  <si>
    <t>I noticed two boys always going to the same student and doing wrestling moves on him. It didn’t look like a game because he didn’t seem okay with it and looked quite uneasy.</t>
  </si>
  <si>
    <t xml:space="preserve">In class, some Malay boys and a few Chinese boys started calling me “German Shepherd” because I’m German-born. After that, it got worse. Many of the boys would insult me and call me things like Nazi. Sometimes they also beat me up. It happens more than once and I feel very targeted and scared when I’m around them.
</t>
  </si>
  <si>
    <t>I saw a group of boys surrounding one student and saying things about him being German. They were calling him names and insulting him. I also saw some pushing and hitting. The student looked quite overwhelmed and didn’t really respond.</t>
  </si>
  <si>
    <t>In class, one of my classmates suddenly snatched my bag and ran out of the classroom. I didn’t expect it and felt quite panicked. He went to hide it somewhere in the school, and I couldn’t find it. I felt very stressed because all my things were inside.</t>
  </si>
  <si>
    <t xml:space="preserve">I didn’t see the argument, but I noticed that after some time, a lot of people in class started ignoring one girl. When she walked past, some students would give her looks and whisper to each other. She looked quite uncomfortable and didn’t talk much.
</t>
  </si>
  <si>
    <t>During a Chinese group project, I was paired with a girl from a popular clique. After we had a disagreement, she started hating me. After that, most of the class stopped talking to me. When I walk past, they give me dirty looks and whisper. It keeps happening and makes me feel very uneasy and paranoid. In the same year, I forgot my textbooks under my desk and came back about 30 minutes later. They were gone. I never got them back, even though it was near exam period. I felt very stressed.</t>
  </si>
  <si>
    <t>In school, I often get ostracised because I listen to metal music. People make it a big thing and treat me differently. Some of the boys also push me around because they know I have a temper but I’m physically quite weak. It happens quite often and I feel quite helpless when it happens. One time in the canteen, I wanted to sit on a seat that a senior had his foot on. I asked him if I could use the seat, and he told me his foot was worth more than my existence. I felt very insulted and embarrassed. There is also a senior who has been messaging me on Instagram. He keeps saying that I will never grow out of being weak and sends me things like that repeatedly. It makes me feel quite discouraged.</t>
  </si>
  <si>
    <t>Almost every day in school, people make comments about my body when they walk past me. It keeps happening and I feel very uncomfortable each time. Recently, someone even called me just to make fun of me. After that, I felt quite distressed and didn’t know how to react.</t>
  </si>
  <si>
    <t>’m currently in Sec 2 and I’m quite a shy person, so I only have one close friend in school. Since Sec 1, there were two girls who would try to make me angry. When I ignore them, they make fun of me for it. Even though one of them has left the school, the situation is still quite bad. It keeps happening and makes me feel very upset and frustrated. I don’t feel comfortable telling teachers because I’m scared they will make fun of me even more. My mum told me to report it myself, but I don’t feel like I can handle it alone. I feel quite helpless in this situation.</t>
  </si>
  <si>
    <t>I’m from the LGBT community, and people here treat me like I’m some kind of joke. I don’t even bother anyone. I just want to be left alone, but they still keep coming for me.
People use “gay” like it’s an insult all the time. Even though I’m not super loud or flamboyant, they still target me verbally and physically. Some of them even use God to justify it, which feels so fake because they’re the ones bullying me in the first place.
I get attacked in a group chat too. They tag me almost every day and say I’m going to hell, that I’m cursed, and that I should stop pretending and be normal. The chat is full of swearing and slurs, and it makes my heart race whenever I see notifications.
In school, the comments start the moment they see me. They call me things like scum of the earth and mistake of God. One day someone knocked my books off the table. While I was picking them up, a group insulted me, kicked me, and tried to pull my pants down because they said they wanted to “examine” my gender. Teachers seem to either not care or pretend not to notice, and I’m scared if I speak up it’ll just become counselling or my parents getting called.
During recess, boys still mock the way I walk and call me names. In the restroom, one guy harassed me even after I said I was uncomfortable, while others laughed. I ended up crying and hiding there until almost the end of school.
Every day I go home feeling physically, mentally, and emotionally drained.</t>
  </si>
  <si>
    <t>I keep seeing this guy called Ryan get targeted. People use “gay” as an insult around him a lot. They make nasty comments the moment they see him. There’s also a group chat where they tag him, tell him he’s going to hell, say he’s cursed, and spam him with slurs and swearing. One day his books got knocked off the table. While he was picking them up, a group insulted him, kicked him, and tried to pull his pants down because they said they wanted to “examine” his gender. Damn messed up.</t>
  </si>
  <si>
    <t>There is this guy Aidan, he came up to me with a long iron bar used to lock the classroom cabinet and strangled me. I was struggling to breathe.</t>
  </si>
  <si>
    <t>Brandon and Qaiser spam me with thousands of insulting messages over a literature project. Brandon also keeps verbally harassing me in class.</t>
  </si>
  <si>
    <t>Since the first week of school, Zi Yi and his group keep tormenting me. It’s not just normal teasing. Every day got taunts, and sometimes they say perverted and really messed up sexual things to me too.
Recently, they even stole my phone from my locker. I already feel stressed coming to school because it’s like they are always looking for ways to make my life worse.
A few days ago, everything got worse. I flung my schoolbag in the direction of the bully, and straight away he beat me up badly. He’s much bigger than me, like almost twice my size, so I really couldn’t do much.</t>
  </si>
  <si>
    <t xml:space="preserve"> I saw Jasmine being targeted by some classmates. They accused her of posting something online she didn’t do. She showed proof, but they deleted the chat and kept spreading rumours.They removed her from their group work, called her useless and ugly.</t>
  </si>
  <si>
    <t>People in my class keep making fun of me, laughing at me, and calling me names. I’m in SC, so I’m not in class a lot, but even when I am, the other student councillor in my class keeps looking down on me and mocking me. Just a few days ago, she laughed at me during class and said something really mean because I was awkward, and it made me feel awful.</t>
  </si>
  <si>
    <t>Someone pulled my pants down to my ankles in front of everyone. I froze, unable to speak, and felt humiliated. Later in the canteen, two wannabe YP guys harassed me while I was just trying to eat quietly. PE lessons continue to be rough because people mock me all the time, and I feel like I can’t defend myself.</t>
  </si>
  <si>
    <t>I feel like being class chairperson makes me a target. People are always watching me, and it seems like everyone in the class wants to pick on me. Today in class, one of the other student councillors laughed at me while I was trying to answer a question and called me awkward. During PE lessons, I get mocked a lot too. A few days ago, I was walking back with the class keys, and some classmates complained loudly that I was too slow. I just stood there quietly because I didn’t know what else to do. The constant attention and bullying make school stressful, and I’m not sure what to do next.</t>
  </si>
  <si>
    <t>I notice the guys keep targeting Xin Yi because they think she’s an easy person to make fun of. They’re the paikia type, and they like picking on the less popular people. She’s very shy and awkward, so she usually just keeps to herself, and that somehow makes them bother her even more.
They like to make comments about how she looks. She’s quite skinny, short, and has acne, and they keep laughing at those things. A lot of the time, when she walks past or is just sitting there doing her own stuff, they start giggling or making laughing noises like she’s some joke to them. It’s obvious they see her as an outcast.She doesn’t really fight back or talk much.</t>
  </si>
  <si>
    <t>A few days ago, some of the popular girls started spreading a nasty rumour about me, saying I broke a major school rule. Almost everyone in class started avoiding me. What do i do T T</t>
  </si>
  <si>
    <t>I see Lucas getting bullied almost every day. I remember a few classmates stealing his stationery and throwing his shoes into the dustbin. One kid even shouted outside his house that he skipped school. It was really cruel.</t>
  </si>
  <si>
    <t xml:space="preserve">I am getting excluded from almost everything in class, and people constantly called me weird, pathetic, and only good at studying. On top of that, some girls started targeting me because of my looks. They said I was ugly, disgusting, and that I’d grow old alone. It felt like nothing about me was safe from their insults. </t>
  </si>
  <si>
    <t xml:space="preserve"> I have been getting cyberbullied a lot. People called me ugly because of my bad teeth. One girl even said she’d bring her “gang” down to confront me, but it turned out it was all fake accounts, and none of it was real. Even some of my friends were following the fake accounts and hating on me for no reason.</t>
  </si>
  <si>
    <t>I saw Ryan and Daniel bothering Alex again today while he was changing after PE. They grabbed and pinched his chest like it was funny, and he didn’t resist. This has been happening for a long time.</t>
  </si>
  <si>
    <t>Omar and Faisal keep making fun of me constantly, ignored me, and mocked my race. There were other small things too, but honestly I’m too tired to list them all.</t>
  </si>
  <si>
    <t>Today at school, Kevin and Shaun pressured me over pocket money, lied to me, and made threats. This has been happening for awhile. I am afraid of telling my parents. I dont really want them to be involved.</t>
  </si>
  <si>
    <t>A few days ago in school, Amanda and Belle humiliated me again. People in class treat me like I’m the ugly girl, and even some girls avoid me like I did something wrong just by existing. I’m not even bothering anyone, but somehow I still become a target.
The constant looks, avoidance, and humiliation make my self esteem drop like crazy. I keep hating how I look and feeling like no one will ever treat me with basic respect if this is how people see me. It’s damn exhausting to come to school already expecting to feel small.</t>
  </si>
  <si>
    <t>I have been seeing Amir being targeted by Fadil and Imran the last few weeks. They would take his phone during soccer and distribute private photos and recordings to humiliate him. He was constantly called gay and fat, and as a result, other students, especially girls, kept their distance. Amir often appeared anxious, quiet, and hesitant to engage socially.</t>
  </si>
  <si>
    <t>Recently at school and CCA, I’ve been dealing with ongoing bullying from Amir and Faisal. They call me names, shout to humiliate me, pinch or twist me lightly, hit my head, throw objects at me, and sometimes take my belongings. Most of this happens in hidden areas like the toilets or corners of the hall</t>
  </si>
  <si>
    <t xml:space="preserve">I saw Ryan being picked on by Hakim, Zaki, and Farid a lot recently. They would push him around and play with his belongings. </t>
  </si>
  <si>
    <t>I saw Ethan Lim being bullied by Darren and Joel today. The bullies kept drawing on Ethan’s textbooks and took his snacks without permission. They also verbally harassed him using derogatory names. Ethan looked like he want to cry.</t>
  </si>
  <si>
    <t>I experienced repeated bullying from Isaac Lim, Hafiz, and several other students. The incidents included teasing, name-calling, and being socially outcasted. My mother tried to intervene on multiple occasions, but they are still bullying me. Help me please</t>
  </si>
  <si>
    <t>During recess today, a few guys from 3B cornered me behind the canteen. I don't even know what I did to them. They started pushing me around and then Marcus just punched me in the face. I fell and hit my head on the drain cover. Everything went blurry for a while. My nose was bleeding a lot and I could not get up properly. A teacher found me on the floor and brought me to the sick bay. The school nurse said I needed to go to the hospital because my nose might be broken and I hit my head quite hard. My mum had to come and bring me to A&amp;E. My whole face still hurts now and I feel scared to go back to school tomorrow.</t>
  </si>
  <si>
    <t>I was walking back from buying my food when I saw a group of boys surrounding Darren near the back of the canteen. I recognised Marcus from 3B. He punched Darren really hard in the face and Darren just collapsed onto the floor. There was blood coming from his nose and he was not moving properly. I did not know what to do so I ran to get a teacher. By the time we came back Darren was still on the ground. It was very scary to watch. I feel bad that I did not do something sooner.</t>
  </si>
  <si>
    <t>I saw the whole thing happen from near the drinks stall. There were like four or five guys from 3B and they had Darren trapped in the corner. They were shoving him and laughing. Then Marcus punched him and Darren hit his head on the drain when he fell. I was shocked and I froze. I have never seen so much blood before. A lot of students were watching but nobody did anything at first. When the teacher came everyone just scattered. I think Darren had to go to the hospital. I am still a bit shaken up.</t>
  </si>
  <si>
    <t>After PE today some girls waited for me outside the changing room. Huiying and her friends started pulling my hair and pushing me into the wall. I tried to walk away but they kept blocking me. Huiying kicked my leg really hard and I heard a crack and the pain was so bad I just started crying. I could not walk without limping badly. My PE teacher saw me crying outside and asked what happened. She called my parents and they brought me to the clinic. The doctor said I might have a hairline fracture and I need to go for an X ray tomorrow. My leg is wrapped up now and I cannot go for school activities. I am so embarrassed and I really do not want to see them in school.</t>
  </si>
  <si>
    <t>I was still inside the changing room when I heard loud noises outside. When I came out I saw Huiying and two other girls surrounding Syafiqah. Huiying kicked her leg very hard and Syafiqah screamed and fell against the wall. She was crying and could barely stand. The other girls just laughed and walked off like nothing happened. I went to help Syafiqah stand but she said her leg was in a lot of pain. I stayed with her until the PE teacher came. I feel very guilty because I did not step in to stop it earlier.</t>
  </si>
  <si>
    <t>I was walking past the girls changing room after PE when I heard Syafiqah crying. I saw Huiying and her group standing around her and Huiying had just kicked her. Syafiqah was leaning against the wall and could not walk properly. The other girls were laughing and talking like it was nothing. I was scared they would do something to me too so I just walked faster to find a teacher. I told my PE teacher and she went to check. I hope Syafiqah is okay because her leg looked really bad.</t>
  </si>
  <si>
    <t>This is not the first time they did this to me. Last time also, Bryan and his friends cornered me in the toilet and slammed my head against the sink. I had to go to KKH that time because my forehead was cut and bleeding. I thought they would stop after that but today during lunch they did it again behind the school hall. Bryan punched me in the stomach a few times and when I fell down he stomped on my hand. My fingers are super swollen now and the school nurse thinks maybe one is fractured. My mum is on the way to bring me to the hospital. I am scared because sometimes I never know when they will come for me again. It just happens out of nowhere and I never feel safe in school anymore.</t>
  </si>
  <si>
    <t>I have seen Bryan and his group bother Ethan a few times before but today was the worst. They were behind the hall and I saw Bryan punch Ethan in the stomach and then step on his hand after he fell. Ethan was crying and holding his hand and it looked very bad. I know this happened before because once in a while I would see Ethan walking around looking scared and I could tell something had happened to him again. I told my form teacher just now and I hope this time the school actually does something because it keeps happening.</t>
  </si>
  <si>
    <t>Today was not the first time I saw Ethan get hurt by Bryan and those guys. A few times I noticed Ethan coming to school with bruises and I kind of suspected something was going on. Today I actually saw it happen. Bryan punched him and then stepped on his hand and Ethan was screaming in pain. I was behind the hall getting water and I just stood there in shock. After they left I went to help Ethan and he was crying very badly. His hand looked really swollen. I feel so bad that I did not report it the earlier times when I had a feeling something was wrong.</t>
  </si>
  <si>
    <t>Sometimes after school when I am waiting for my mum at the side gate, Jasmine and her group will find me and start hitting me. It happened before in secondary one and I thought when we moved to secondary two it would stop. But once in a while they still come. Today Jasmine slapped me across the face and then her friend grabbed my arm and twisted it so hard I screamed. A teacher heard me and came running. My arm is in a lot of pain and I cannot lift it properly. The school called my parents and I am going to the polyclinic later. I am so tired of this. I never know which days will be okay and which days they will come. Every time I reach the gate I just feel very scared inside.</t>
  </si>
  <si>
    <t>I have seen Jasmine and her friends bother this girl Nurul a few times after school near the side gate. Sometimes I would just walk past and see them surrounding her and I did not really know if it was serious. But today I actually saw Jasmine slap Nurul across the face and her friend twist her arm. Nurul was crying out in pain very loudly. I am glad the teacher was nearby and came quickly. I feel bad that the last time I saw something I did not say anything. I thought maybe it was just friends fooling around but now I know it was not.</t>
  </si>
  <si>
    <t>I was waiting at the side gate for my dad today when I saw Jasmine's group surrounding Nurul again. It happened before, once in a while I would see them near Nurul and she always looked very uncomfortable. But today it was different because Jasmine actually hit her and another girl twisted her arm very violently. Nurul was screaming and crying. A teacher came running and I was shaking just watching. I gave my statement to the teacher just now. I really wish I had said something earlier the other times I noticed something was off because maybe it would not have gone this far.</t>
  </si>
  <si>
    <t>A few times this year I noticed Nurul looking upset or scared near the side gate after school but I always thought maybe she was just having a bad day. Today I finally understood what was actually going on. I saw Jasmine slap her really hard and one of the others grabbed her arm and wrenched it back. The sound Nurul made was horrible. I immediately went to look for a teacher and thankfully one was already coming after hearing the scream. This has clearly been going on for a while and I feel really guilty for not connecting the dots sooner.</t>
  </si>
  <si>
    <t xml:space="preserve">During the school camp last Friday in the dormitory block, I was sleeping and I woke up because I felt someone touching me under my shirt. It was Kelvin from my class. When I screamed he ran off. I was so shocked I could not move for a while. I did not tell anyone that night because I was scared and embarrassed. I feel so disgusted and I keep crying. </t>
  </si>
  <si>
    <t>I was sleeping in the same dorm room during camp when I heard Priya scream. I woke up and saw Kelvin rushing out of the room. Priya was sitting up on her bed shaking and crying. I went to her and asked what happened but she was too shocked to say much. I stayed with her the whole night but I did not know what to do or who to tell.</t>
  </si>
  <si>
    <t>During camp I did not see what happened directly but I saw Kelvin sneaking toward the girls side of the dorm quite late at night. I thought it was weird but I told myself maybe he was just going to the toilet in the wrong direction. When I heard Priya scream a few minutes later I connected it in my head but I was too scared to say anything.</t>
  </si>
  <si>
    <t>I do not really know how to say this but I have to report it. It has been happening a few times in the boys changing room after PE. A senior, I think he is from secondary four, would come in and touch me and tell me not to tell anyone or he would make my life very difficult.</t>
  </si>
  <si>
    <t xml:space="preserve">A few times after PE I noticed a senior hanging around outside our changing room and I thought it was a bit weird because he had no reason to be there. Once I saw him go inside when Marcus was still in there and I thought maybe they knew each other. Today Marcus ran out of the changing room looking very scared and pale. </t>
  </si>
  <si>
    <t>Today after PE Marcus suddenly ran out of the changing room and he looked really frightened. His face was completely white. I asked him what happened but he just kept walking very fast back to the canteen.</t>
  </si>
  <si>
    <t>Someone created a fake Instagram account using my photos and my name. They edited some of my photos to make them look very inappropriate and started posting them and tagging people from my school. The account also sent those photos to boys in my class and told them it was me sending the pictures. By the time I found out, so many people had already seen it and were talking about me. People were laughing at me in school today and I did not understand why until my friend showed me the account.</t>
  </si>
  <si>
    <t>Someone in my class forwarded me a link to this Instagram account that looked like it was Vivienne's but something was very off. The photos were edited in a very inappropriate way and the account was sending these pictures to people in our school. I knew immediately it was fake and that someone had done this to humiliate her. I went to tell Vivienne personally because I felt she needed to know. She had no idea and she started crying when she saw it.</t>
  </si>
  <si>
    <t>A few guys in my class were passing around screenshots from this fake Instagram account that was using Vivienne's photos. The pictures had been edited and were very inappropriate. I felt very uncomfortable and I told them to stop sharing it. Some of them thought it was funny but I knew this was wrong and probably illegal.</t>
  </si>
  <si>
    <t>I saw the fake account this morning and I was shocked someone would do something like that. The photos were clearly edited to make Vivienne look bad and the account was tagging people from our school. People in my friend group were sharing the screenshots and laughing.</t>
  </si>
  <si>
    <t>For the past few weeks someone has been sending me anonymous messages on Telegram telling me to kill myself and that everyone in school hates me. At first I tried to ignore it but then they started sending me my home address and photos of me taken outside my house without me knowing. That means someone has been following me or watching my house. Last night they sent a message saying they knew my daily schedule and that something bad was going to happen to me.</t>
  </si>
  <si>
    <t>Hafizuddin showed me some of the Telegram messages he had been receiving over the past few weeks. They were really disturbing, telling him to kill himself and saying everyone hated him. I told him to keep all the screenshots. But when he showed me the message last night with his home address and photos taken outside his house I told him he had to tell his parents immediately because this was beyond just online bullying.</t>
  </si>
  <si>
    <t>Hafizuddin told me last week that he was getting very disturbing anonymous messages but I did not know how serious it was until he showed me everything today. Someone sent him his own home address and pictures of him outside his house which means they were physically following him. The messages also told him to hurt himself.</t>
  </si>
  <si>
    <t>I was just sitting at the canteen eating my mee rebus when Faizal came up to me and told me to give him my money. I said no and then he reached into his pocket and took out a penknife and held it near my stomach. I never seen him do this before, this is the first time he ever did something like that to me. I was so scared I could not move. My hands were shaking and I just gave him whatever was in my pocket. He took my five dollars and walked off like nothing happened. I did not finish my food after that. I just sat there. I do not know what to do.</t>
  </si>
  <si>
    <t>I was queuing for my food and I saw Faizal go up to Darren's table. I thought they were just talking but then I saw Faizal take out something shiny and hold it near Darren. I was quite far so I could not see exactly but it looked like a small knife or cutter. Darren looked really scared, like he froze completely. Then Darren gave Faizal some money and Faizal just walked away. This is the first time I have ever seen Faizal do something like this, never happened before, I was very shocked.</t>
  </si>
  <si>
    <t>I was sitting two tables away and I saw the whole thing. Faizal walked up to Darren and they talked for a bit then Faizal showed something from his pocket. I could see it was a penknife because the light reflected off it. Darren looked like he was going to cry. He passed Faizal his money and Faizal left. I never saw Faizal do something this serious before. I just sat there and I did not know what to do either.</t>
  </si>
  <si>
    <t>This has happened a few times already. After school at the bus stop near the back gate, Bryan and his group will sometimes wait for me there. The first time they just shoved me around but after that they started bringing a baseball bat. They do not always hit me with it but they will wave it in my face and hit the bus stop shelter to scare me. Last time also they surrounded me and Bryan held the bat near my head and told me if I tell anyone he will use it properly. I have been taking a different route home but sometimes they find me anyway. I am very scared every time school ends.</t>
  </si>
  <si>
    <t>I take the same bus as Ethan and I have seen Bryan and his friends at the bus stop waiting for him a few times already. Once in a while when I walk out I will see them surrounding Ethan. One of them, I think it is Bryan, will be holding a black baseball bat. They shout at him and use the bat to bang on the metal shelter. Ethan will just stand there and not fight back. I have seen this happen before, it is not the first time. I always walk faster and pretend I did not see because I am scared they will turn on me too.</t>
  </si>
  <si>
    <t>I have seen Bryan's group do this to Ethan maybe two or three times at the bus stop. Sometimes it happens, sometimes it does not but when it does happen they always have that bat with them. That day I saw Bryan swing the bat really close to Ethan's face and Ethan flinched and almost fell. They were all laughing. I felt very bad for Ethan but there were like five of them so I just kept walking.</t>
  </si>
  <si>
    <t>Every week, sometimes more than once a week, this Sec 4 senior called Ryan will find me in the toilet near the hall. He always has a box cutter with him. He keeps doing this again and again, I have lost count of how many times already. He will press me against the wall and hold the cutter near my face and ask me to pass him money or do his homework. One time he actually pressed the blade against my arm, not deep but I could feel it.</t>
  </si>
  <si>
    <t>I go to the toilet a lot during recess and I have seen Ryan cornering Amirul many times already. Every week it seems like Ryan is there waiting. He usually has this box cutter that he will open and wave around while talking to Amirul. Amirul always looks terrified. This is not a one time thing, they usually do this, Ryan and sometimes one of his friends will come along. Last week I walked in and Ryan had the cutter open right next to Amirul's cheek.</t>
  </si>
  <si>
    <t>My classroom is near that toilet and I have seen Amirul come out of there looking really shaken up many times. Once I walked past the toilet entrance and I could hear Ryan's voice inside threatening Amirul, saying stuff like he better not say anything. This keeps happening, I have noticed it for weeks already. One time I saw Amirul's arm and there was a small red mark on it.</t>
  </si>
  <si>
    <t>Ryan and his friend have been doing this to Amirul again and again for a long time. I have seen it happen so many times in the toilet block. Ryan always has a box cutter in his hand when he talks to Amirul, he opens it so Amirul can see the blade.</t>
  </si>
  <si>
    <t>This has been going on since last year. Almost every single day, Marcus and Shaun will find me, either in class before the teacher comes or outside during recess or after school. One of them always has a flick knife. They will flip it open in front of me and tell me to give them money or buy them food or do their work. It is non-stop, I cannot escape it. Even on days I try to stay near the teacher, they will get me later. My wallet is always empty now. My parents keep asking why I need more allowance and I do not know what to say. I have bruises sometimes because if I say I have no money Marcus will grab my arm and press the blade side against my skin, not cutting but hurting.</t>
  </si>
  <si>
    <t>Wei Jie sits near me in class and I have seen Marcus and Shaun do this to him constantly, it feels like every single day. Marcus will lean over and flip open his knife under the desk so the teacher cannot see and Wei Jie will immediately start looking through his wallet. This has been happening all the time since last year, it is not something new. Wei Jie always looks exhausted and scared. Sometimes I see him wince and when I look, Marcus is pressing the knife handle or something against his arm. I have seen this so many times I have lost count. Wei Jie never says anything, he just does what they want.</t>
  </si>
  <si>
    <t>Marcus and Shaun have been terrorising Wei Jie non-stop for as long as I can remember, definitely since last year. Every day during class or recess one of them will pull out that flick knife and flash it at Wei Jie. They are very good at hiding it from teachers. Wei Jie will pass them money or food without even arguing anymore, like he has just given up.</t>
  </si>
  <si>
    <t>I see Wei Jie being bullied by Marcus and Shaun all the time. It is every day, sometimes even more than once. They will corner him at the canteen or in class and the knife will come out and Wei Jie will just go very quiet and still. I have been watching this happen for months now. Recently I noticed Wei Jie has been coming to school looking really unwell, like he is not sleeping and very thin. Last week I saw Marcus grab Wei Jie's wrist with the knife in his hand and I could see Wei Jie was trying not to cry.</t>
  </si>
  <si>
    <t>During one morning assembly, we had to sit in lines with the girls. When I sat down, a few of the popular girls nearby started whispering things like “Ew, I don’t want to sit next to her” and “Sarah, can you sit somewhere else?” One of them even told her friend to take my place instead. They made it quite obvious they didn’t want to be near me and hesitated before sitting down. It felt awkward and embarrassing, but after a while, they eventually settled down once someone else sat beside me.</t>
  </si>
  <si>
    <t>There was one incident where a few classmates made fun of me using Facebook. They created a fake profile with my name and posted some embarrassing things as a joke. I only found out because I overheard them talking about it. It felt embarrassing and upsetting, but I haven’t told my parents or anyone else about it.</t>
  </si>
  <si>
    <t xml:space="preserve">I received an “anonymous” message on Tellonym from someone I suspect is in my class. The message contained mean comments, calling me “idiot” and making fun of me. I hate it. </t>
  </si>
  <si>
    <t>Yesterday I noticed a few classmates making jokes about Rachel and laughing among themselves. She looked super uncomfortable and a bit upset by it.</t>
  </si>
  <si>
    <t>A classmate made a rude comment, called me “dyslexic” in a mocking way as he walked past. It caught me off guard and felt quite hurtful, especially since it’s about something I can’t change. It was embarrassing and made it hard to focus in class for a while.</t>
  </si>
  <si>
    <t>Caleb and a few others made some teasing remarks about me and laughed while I was in the canteen today. I kept to myself for the rest of the day. It was damn hard to focus in class after that.</t>
  </si>
  <si>
    <t xml:space="preserve">I had an argument with a few boys just now after I reminded someone to keep quiet then they called me things like “nigger”, “shut up”, “f*ck you”, “dumb ass”. Idk why they were so mean to me its the first time I've had anyone scold such mean things to me. </t>
  </si>
  <si>
    <t xml:space="preserve">There was one day in school where I felt left out by some of my classmates. A few of them avoided sitting near me and made some unkind comments when I was around. They are so mean. </t>
  </si>
  <si>
    <t xml:space="preserve">Janice said some unkind things about us and then she also spread baseless rumours about us and turned our friends against us. So far nothing else has happened yet but idk if she will continue to keep making up ridiculous rumours. </t>
  </si>
  <si>
    <t xml:space="preserve">Today in school someone started spreading a rumour about me, and suddenly everyone “unfriends” me. People scared that if they talk to me, they’ll become the next target, so nobody want to come near me ever since this afternoon. I feel so depressed and I hate school now. I hope this never happens again. </t>
  </si>
  <si>
    <t xml:space="preserve">This one time I gave Cheryl a photocopied worksheet, but I filled it in incorrectly as a way of getting back at her for always trying to copy my homework. Later during recess, she made some rude comments towards me and called me a bitch. </t>
  </si>
  <si>
    <t xml:space="preserve">Last week I heard Cheryl call Nicole a bitch during recess. Not sure why but it caused quite a loud commotion and they were yelling at each other a lot across the whole canteen, and Nicole seemed really angry at Cheryl's insults and name-calling. </t>
  </si>
  <si>
    <t>On the school bus the other day all the students on the bus were laughing at this new guy and calling him fat. I usually take the same school bus but I've never seen this happen before. Then the entire bus ride they kept poking fun at him and I felt so bad for him especially when he's so new at this school.</t>
  </si>
  <si>
    <t xml:space="preserve">Some of my classmates made some nasty comments about me in school after a misunderstanding involving a senior student and on the same day I also saw a post that seemed to be indirectly about me on social media after the incident. They never confronted me about it again ever since that day but I feel scared it'll happen again. </t>
  </si>
  <si>
    <t xml:space="preserve">I saw Jarrett and Royston calling Hui Ting names and talking shit about her on Instagram last Friday. The 3 of them used to be pretty close, not sure why this suddenly happened but she does seem very stressed by what they did to her on Friday. </t>
  </si>
  <si>
    <t xml:space="preserve">I was queuing for food at the canteen then I tapped Jared on the shoulder to say hi as usual. He then turned around and started calling me a bastard and other names all of a sudden. He has never reacted this way to me idk why all of a sudden it's like he hates me. </t>
  </si>
  <si>
    <t xml:space="preserve">I was right behind Trevor in the queue in the canteen and saw Jared shouting and yelling lots of nonsense at him yesterday after he tapped him on the shoulder. Dk what the hell happened but it was kinda scary being so near them when all the shouting happened. </t>
  </si>
  <si>
    <t xml:space="preserve">Eunice started telling everyone else not to talk to me this afternoon after recess. She was telling everyone she thinks I’m trying to be a goody two shoes for the teacher. We used to be best friends up until yesterday then she pulls something like this on me sia how could she. </t>
  </si>
  <si>
    <t xml:space="preserve">That day after flag raising, I came back to find my desk covered in someone's used tissue paper. Obviously I got super mad about it and i KNOW someone purposely did this because they left a sticky note on my table saying "loser" on my table. I didn't find out who did it in the end but I really don't want to come to school in case this happens again. </t>
  </si>
  <si>
    <t xml:space="preserve">I'm in Shanice's class and I sit a few tables away from her and was so shocked to see her desk covered in someone's used tissues. I heard she didn't manage to find out who did it but I have a few suspicions since some of the girls talk bad about her behind her back sometimes. </t>
  </si>
  <si>
    <t xml:space="preserve">Usually I know this group of people from Jia Hao's gang doesn't like me but they just glare at me sometimes. For the first time today they actually came up to me and hurled vulgarities at me, calling me a "chee bai" and kept poking fun at me with their middle fingers. I couldn't retort back because they were so many of them I can't argue back. </t>
  </si>
  <si>
    <t xml:space="preserve">Two days ago during PE I got teased quite a few times about my appearance, like my size. It started when I didn't manage to run after the ball when playing football and they started calling me fat to my face. I know they already think that way because they didn't want to group with me for PE but I can't believe they said it to my face this time. </t>
  </si>
  <si>
    <t xml:space="preserve">During group work today, James say I stupid when we were discussing answers. I know its not a big deal lah but I just kept quiet after that so he can't call me anything else again. </t>
  </si>
  <si>
    <t xml:space="preserve">During yesterday's group activity my textbooks were purposely damaged by Bryan while were working together at the table. I already know he doesnt like me because he always looks at me with a very mean face but this is the first time he ever actually tried to destroy my things leh. </t>
  </si>
  <si>
    <t>There was one incident in school where I was targeted by a group of schoolmates last week. Some of them made repeated insulting comments about my appearance and compared me negatively to another student also called Jolyn (same name as me). I was shoved and threatened during the confrontation, and they said they will come after me if I dared to tell anyone about this incident, I'm scared.</t>
  </si>
  <si>
    <t>A group of classmates made repeated insulting comments towards me during a class activity the other day, calling me names and laughing at me. After class they continued, and lightly shoved me around. After that incident, I avoided interacting with them and avoided any further suituations but damn scared it'll happen again sia.</t>
  </si>
  <si>
    <t>In class activity that day Ron was placed into a group and some of our classmates made insulting remarks towards him, and on my way home from school I saw them shove him around also.</t>
  </si>
  <si>
    <t>Last thursday in chinese class he flicked the back of my head and continued even after I asked him to stop. It wasn't pain or anything but super annoying and I hate that he was bothering me when I was trying to focus.</t>
  </si>
  <si>
    <t xml:space="preserve">We changed seating positions last week and I got put next to Dylan. He stole my mechanical pencil and claim it was his even when I called him out for it. Its been like one week already and I still haven't gotten it back. </t>
  </si>
  <si>
    <t xml:space="preserve">During group work today, one of the boys called me stupid while we were discussing the answers. He was stepping on my shoes under the table afterwards and kept snickering at me because I got the answer wrong. </t>
  </si>
  <si>
    <t xml:space="preserve">Recess time yesterday they tried to snatch my lunch money, it made me panic and scared. What if they try to snatch my money again. I don't want to come to school. </t>
  </si>
  <si>
    <t xml:space="preserve">I witnessed Umairah try to snatch this girl from another class's money from her wallet during recess time yesterday and she looked so scared of her. </t>
  </si>
  <si>
    <t xml:space="preserve">I didn’t see everything clearly, but there was one incident where I heard a group of boys making comments about this girl’s appearance during school. They were laughing and criticising her clothing, saying her skirt was too long, and they stood around her and blocked her path while continuing to make remarks. They looked super intimidating. </t>
  </si>
  <si>
    <t xml:space="preserve">Just now in class, a classmate got really upset at me after a minor disagreement because I accidentally water being splashed earlier. He shoved me in the chest and told me to 'get the hell out of his way" even though I already apologised to him so many times after the water splashing. </t>
  </si>
  <si>
    <t>During class discussion, I tried to speak up even though I usually don’t talk much. I was already very nervous and my heart was beating very fast, and I started to stutter. While I was talking, one boy told me to stop talking and said I was being an attention seeker. After that, a few boys around him started laughing and telling me to shut up, and one of them leaned over like he wanted to block me from continuing. I felt quite pressured and embarrassed so I just kept quiet for the rest of the lesson and didn’t want to speak anymore.</t>
  </si>
  <si>
    <t xml:space="preserve">There was one incident where I noticed two boys approaching the same student during school and making gestures that looked like wrestling moves. It didn’t seem like a mutual game because the student looked uncomfortable and was trying to pull away. </t>
  </si>
  <si>
    <t>In class, there was one incident where a group of boys made repeated insulting comments towards me, calling me “German Shepherd” because I’m German-born and also making other offensive remarks. During the situation, the comments became more intense and a few of them surrounded me while laughing, which made me feel pressured and uncomfortable.</t>
  </si>
  <si>
    <t xml:space="preserve">I didn’t see the full argument, but there was one incident where I noticed a girl being treated differently by several classmates in class. When she walked past, some students whispered and gave her uncomfortable looks, and a few of them tried to block her from coming over when she tried to sit nearby. </t>
  </si>
  <si>
    <t>Today someone made comments about my body when passing by, and even purposely bumped into me and called me fat for taking up so much space in the corridor. It was so humiliating but I couln't do anything but walk away.</t>
  </si>
  <si>
    <t>I had a confrontation with a few girls on Wednesday where they tried to provoke me by repeatedly making remarks to get a reaction, and when I ignored them, they mocked me for not responding and poked me in the shoulders condescendingly. I was too scared to speak up.</t>
  </si>
  <si>
    <t xml:space="preserve">On Tuesday I overheard this bunch of guys calling Ryan gay and at one point, his books were knocked off the table, and when he bent down to pick them up a few students surrounded him and made threatening remarks warning him not to rat to the teacher. </t>
  </si>
  <si>
    <t>Ethan sent a large number of insulting messages to me after CCA on Monday, and tried to scare me by threatening to expose my secrets to the class group chat. I'm not sure what I even did to him to make him this angry at me. Please help me please.</t>
  </si>
  <si>
    <t xml:space="preserve">I had a confrontation with Jun Heng and his group during the day. During that situation, there were repeated insulting remarks made towards me, which and they grabbed my schoolbag and started shaking it upside down to dump my things everywhere in frustration. I already feel stressed coming to school with all the work and exams and studies and they are still finding ways to make my life worse.
</t>
  </si>
  <si>
    <t xml:space="preserve">Today several classmates started distancing themselves and avoided interacting with me. A few of them also told others not to talk to me, which made it feel like I was being singled out and pressured out of social groups. They took my file with my homework in it and didn't want to return it to me. </t>
  </si>
  <si>
    <t xml:space="preserve">I saw Jasmine approach Lauren and pressure her to hand over her homework to copy. When she hesitated, she made some insulting remarks and tried to shove her lightly. The situation felt really tense and I wanted to step in but couldn't. </t>
  </si>
  <si>
    <t>During class I saw Rayston being targeted by his table group. Some of them, including Ming Jie, took his textbook and started handling it roughly and tossing it around while making comments about his accent since he's Indian. Rayston was trying to act like he was fine but he clearly wasn't and he didn’t seem able to respond.</t>
  </si>
  <si>
    <t xml:space="preserve">I noticed a class photo at the back of the classroom being deliberately vandalised by a few students, with some faces poked with pins. It wasn't like this before recess today, I only saw it like that after I came back from the canteen. Dylan and his gang were also pointing at the photo and laughing while making glances at Wei Jie who looked really uncomfortable. He was one of the faces that got vandalised too. I'm pretty sure Dylan they all did it. </t>
  </si>
  <si>
    <t>They created a fake Instagram profile today using my name which I found out about later and during recess, some of them took my money so I couldn’t buy food. When I came back from the toilet, one of them kicked me in the knees and I fell on the floor. It was so damn humiliating but no one did anything to help me I had to pick myself up. I still haven’t told my parents about what happened since it all happened only today and I'm still in shock.</t>
  </si>
  <si>
    <t>Someone sent Alicia anonymous messages on Tellonym like calling her a “slut” and threatening her about coming to seek her out with a knife. Later that same day in school, I saw someone throw a ruler at her face too and it hit her face pretty hard her glasses flew off. Everyone in class was too scared to say anything but we all saw it happen.</t>
  </si>
  <si>
    <t xml:space="preserve">There was an incident after school yesterday where a group of boys surrounded this other kid near the staircase and started making threatening remarks, saying they would “settle him” if he didn’t listen. One of them raised his fist like he was going to hit him, and the other was holding a penknife against his throat. I ran away after that because I was too scared to stop them so I'm not sure if anything else happened after that but I think that student really needs help. </t>
  </si>
  <si>
    <t xml:space="preserve">During CCE lesson today, a few of the boys started making inappropriate comments towards Kris, including sexual remarks about her body while she was presenting, saying things like "wah seh her boobs damn big leh" and even more inappropriate comments that I don't even wanna say. The teacher didnt hear them but I think she did because she looked very uncomfortable and tried to finish her speech quickly, but they continued laughing and making comments. </t>
  </si>
  <si>
    <t xml:space="preserve">I found out that an inappropriately edited photo of Charmaine had been shared in a group chat with some of our class boys in it. I didn't see it myself but I heard it was a super suggestive image that wasn't actually her, they just cropped her face onto some onlyfans model or something. and it was being passed around the guys. Please do something about this it's uncomfortable having to come to school knowing any other girl could be next too. </t>
  </si>
  <si>
    <t>During recess, this student accidentally bumped into another guy and it quickly escalated. One of them started shouted insults and I couldn't even process what was happening before I saw him slap the other student. It was about to break out into a fight but luckily their friends pulled them away and got them to stop.</t>
  </si>
  <si>
    <t xml:space="preserve">After PE class today in the boy's toilet, a bunch of dudes in the class made inappropriate jokes and comments about Ryan while he was changing. They were making fun of his size and snatched his shirts and shorts while he was mid change and defenseless. They kept slapping his body lightly as a joke even on his ass and other not so appropriate places as well and he looked like he was about to cry. </t>
  </si>
  <si>
    <t xml:space="preserve">During science lab, Yong Jun suddenly flicked a rubber band at me from a super close range out of anger when I was arguing with him about how we were doing our titration step wrongly comapred to the other groups. The rubber band hit my cheek quite hard and stung a lot and it left a red mark on my face. No one else saw but he also never apologised to me even after that and continued to do the experiment in silence. I'm not sure if this counts as bullying but it did hurt a lot. </t>
  </si>
  <si>
    <t xml:space="preserve">I was in the toilet and a few boys came in and started making comments at me. I don't know who they were and I was too scared to go out and get a look at their faces. One of them was slamming on the cubicle door really hard while I was inside and tried to forcefully open it by knocking it down, and he was yelling things like "you better come out now or im going to charge in with a bat". I just crouched above the toilet seat in silence until they eventually went away but I'm so scared. What if they do this again, and I have no idea who they are too. </t>
  </si>
  <si>
    <t xml:space="preserve">During badminton CCA today Jia Hao and Wei Jun were arguing and all of a sudden Jia Hao slammed the shuttlecock really hard with his racket aiming right at Wei Jun's face on purpose. The shuttlecock knocked off his spectacles and broke them, and the impact from it slamming into his specs left a cut across his nosebridge barely missing his eyes. </t>
  </si>
  <si>
    <t xml:space="preserve">I realised Ethan was secretly recording me on his phone while I was in class. He was holding his phone up at a weird angle from the corner of the classroom and it just made me feel uncomfy and scared. When I tried to confront him, he made very inappropriate remarks and nasty comments about my body and it just felt very humiliating like I was harassed. I didn't want to escalate it so I gave up trying to get him to delete the videos but I'm scared this will happen again, or he'll do something even worse to me. </t>
  </si>
  <si>
    <t xml:space="preserve">I'm not sure if this counts but I think I might have been getting bullied during PE today. It started with someone throwing a ball at me from a short distance but I didn't see who. Then for the rest of the class people were throwing balls at me a lot, and even though they say sorry it sounds like they don't mean it and they were intentionally aiming for me the entire time. It hurts you know, it looks like they were triyng to pass it off as a joke but it hurts. </t>
  </si>
  <si>
    <t>I found out that someone had edited my photo onto some scandalous picture and shared it in a group chat. And I only found out because today, people were pointing at me and laughing and I had to find out from my only friend in the class that this edited picture of me was floating around. It's not even me!  And because of this everyone was saying ridiculous thigns about me and my body and my personal life.</t>
  </si>
  <si>
    <t xml:space="preserve">Kai Jie suddenly snatched my bag during a disagreement today and held onto it to tease me, refusing to return it to me even when I tried asking for it back. I had to physically try to reach for it and grab it back but since he's bigger and taller than me I couldn't reach it and accidentally ended up messing up his hair by accident whne reaching for the bag. He suddenly turned very scary and grabbed my wrist really tightly to the point where it was really painful and he told me not to “try anything” and tightened his grip. I couldn't escape it and it left a red mark. </t>
  </si>
  <si>
    <t xml:space="preserve">A bunch of the boys in class were ganging up on Jovan during PE today, and they kept throwing balls at him and laughing it off as if it was an accident, but anyone can tell they were doing it on purpose and laughing at him for being fat and unfit. They were hitting him quite hard too and I saw him wincing from the impact. The PE teacher didn't see any of this but Jovan clearly looked distressed but he couldn't say anything because they were passing it off as just playing around. </t>
  </si>
  <si>
    <t xml:space="preserve">We usually put our textbooks and stuff under our tables right, today I pulled out the books under my table and found a few post it notes stuck to one of them saying "I am going to kill you", "You better watch out", "You will die soon". I really don't know who could have written this but I'm really scared now I don't remember offending anyone and why would anyone pull such a prank on me sia. </t>
  </si>
  <si>
    <t xml:space="preserve">I was walking past the neighbouring classroom when I saw this guy throw his owala across the classroom at this other guy during what looked like a quarrel. It hit him on shoulder and he immediately winced in pain. I didn't dare to jump in and stop the fight, but it seemed like there was no other throwing or hitting after that, but they did still continue yelling at each other while the guy clutched his shoulder in pain. </t>
  </si>
  <si>
    <t xml:space="preserve">I overheard Jun Jie scolding his girlfriend in a really serious tone that he would “teach her a lesson for being a slut” and call her things like "whore", "bitch" and other degratory things. He was also gripping her arms really hard and she looked very scared but unable to say anything in response. I then saw her crying in the toilet with red marks on her arms a while later, probably from Jun Jie gripping her too hard, not sure if she's still doing ok. </t>
  </si>
  <si>
    <t>Bryan jabbed my arm with a pen during a quarrel today over me not wanting to lend him my math homework to copy. It didn’t bleed but it hurt quite a bit and left a mark. He just smirked after that and didn’t apologise to me at all.</t>
  </si>
  <si>
    <t>I witnessed Bryan jab Derrick with a pen while they were having a quarrel today. I don't think he was hurt but he did look like he was in pain.</t>
  </si>
  <si>
    <t xml:space="preserve">He got and pushed another student quite hard after class. We all knew he had anger issues but it was the first time I've seen him get physical. He shoved him so hard that the student stumbled and hit his chair. He then kept raising his voice and threatened waved a chair in the air menancingly at him, but didn't actually throw it at him in the end. </t>
  </si>
  <si>
    <t xml:space="preserve">I didn't see it happen directly but I heard a loud 'thwack' sound and turned around to see Yi Ting holding her cheek in pain, and I assume she was slapped by Charlotte who was still going on and shouting at her even though her cheek was red from impact and she looked like she was about to cry at any time. </t>
  </si>
  <si>
    <t>A few times after school, James and Kelvin will corner me behind the canteen and threaten to beat me up if I didn’t give them money. Sometimes they will use a penknife to threaten me.</t>
  </si>
  <si>
    <t>I have seen James and Kelvin cornering Edric behind the canteen a few times and using a penknife to threaten him into giving them money.</t>
  </si>
  <si>
    <t>There were a couple of times where someone edited my photo into something inappropriate and shared it in class Telegram groups.</t>
  </si>
  <si>
    <t>During recess, there were a few occasions where Evan was so angry with me that he pushed me very hard “by accident,” and one time I fell and had to go to the general office for first aid.</t>
  </si>
  <si>
    <t>Sometimes after school, Regine will lock me inside the toilet cubicle that I'm peeing in as a prank. One time I panicked so badly because she wouldn't let me out that I couldn’t breathe properly and had to go to the sick bay.</t>
  </si>
  <si>
    <t xml:space="preserve">Sometimes Rachel will tell me to kill myself when we argue which really hurts my feelings because we are best friends. </t>
  </si>
  <si>
    <t>Darren has hit me a few times outside the school at the bus stop. Once, he punched me in the face and I had to go to the polyclinic. It happened again last month — he and his friends cornered me and kicked me until I fell. I haven't told my parents because they'll make things worse.</t>
  </si>
  <si>
    <t>I think Priya really hates me. A few times now, she has posted photos of me from PE class on her private Instagram story with really vulgar captions — calling me ugly and saying I should just disappear. Once she even edited the photo to make it look sexual and shared it with a big group chat. My friends told me about it and I felt so disgusted.</t>
  </si>
  <si>
    <t xml:space="preserve">Shannen told other girls that I was "asking for it" after Ethan touched me inappropriately during the class trip. It happened before last year too, someone else did something similar and she spread the same rumour. Because of what she said, everyone treats me like I'm dirty. </t>
  </si>
  <si>
    <t>Some time ago, a few classmates dared each other to send me messages on Discord saying I should go and die, that nobody wants me here. Rizwan and Marcus did it again last month with a new account after I blocked the first one. My mum saw one of the messages and cried. I feel very guilty. I've started thinking that maybe they're right, and I don't really want to be here anymore.</t>
  </si>
  <si>
    <t>A senior, Bryan, has assaulted me physically on two separate occasions near the school canteen. The first time he slammed my head against the wall and I had a bad headache for days. The second time, he punched me in the stomach so hard I vomited. He told me it's my fault for "acting smart" in front of his friends. I'm scared to eat at the canteen now and I've been skipping recess.</t>
  </si>
  <si>
    <t>Weijie found out I'm gay and has threatened to tell the whole school a few times. Once, he showed me a voice recording he secretly made of me talking about it, and said he'd send it to my parents unless I did his homework. It happened again last term with a different threat. The stress got so bad I started cutting myself just to cope. I haven't told anyone.</t>
  </si>
  <si>
    <t>Alvin has molested me twice — once during a school excursion on the bus, and once in the school library during a free period. Both times he made it seem like an accident in front of others, but I know it wasn't. I feel very confused and ashamed. I haven't reported it because I'm afraid people will say I'm lying or that I made it into a big deal. It happened before last year too so I'm scared it will happen again.</t>
  </si>
  <si>
    <t>During our school's cohort camp and again during sports day, a senior called Hafiz pressed himself against me from behind in a crowded area and touched me inappropriately. Both times he acted like nothing happened and walked away. When I told a friend, she said I was overreacting because "it's so crowded what." I haven't been able to sleep properly and i feel very disgusted now.</t>
  </si>
  <si>
    <t>My whole class turned against me after Serene told everyone I had stolen from a classmate, which is not true. They would walk past and whisper things, and a few times someone shoved me hard from behind in the corridor. It happened again after the mid-year exams when Serene started the rumours all over again. I've been crying every night and I've started thinking that if I wasn't here anymore, things would just be easier for everyone. I looked up ways to end my life once but I was too scared to do anything.</t>
  </si>
  <si>
    <t>A few boys in school found out I have a skin condition and started calling me names and taking photos of my arms without my permission. It happened once near the parade square and again during a PE lesson. They shared the photos in a big class group chat with disgusting captions. After that, I stopped wanting to do anything. I don't eat much anymore, I stopped going for CCA, and some days I feel so hopeless I just lie in bed and think about whether life is even worth living.</t>
  </si>
  <si>
    <t>Dexter has cornered me in the school toilet twice. Both times he grabbed me by the collar and threatened me with a penknife, saying he'd hurt me if I told any of the teachers what he's been doing. I was so scared I couldn't move. I still think about it now during CCA and I try to avoid going to the toilet alone.</t>
  </si>
  <si>
    <t>Desmond has threatened me twice near the school gate. The first time, he got in my face and said he would disfigure my face after school if I didn't stop hanging out with his girlfriend. The second time was a few weeks later — he came with two friends and told me he knew where I lived. I am scared of what he will actually do to me.</t>
  </si>
  <si>
    <t>Luke has pushed me down the stairs twice this semester. The first time I twisted my ankle and limped for a few days. He said it was an accident but he was laughing. The second time happened after assembly — he shoved me from behind while I was walking down to the canteen and my elbow got scraped. I feel scared every time I'm near a staircase now.</t>
  </si>
  <si>
    <t>There is a group of boys in my class who have made very vulgar sexual comments about my body twice — once during a PE lesson when I was in my PE shirt, and again during a class party. They rated my body out loud and made disgusting jokes. Other classmates laughed along. I felt so embarrassed I wanted to disappear. I've started wearing a jacket even during PE so they won't look at me.</t>
  </si>
  <si>
    <t>I know that Jason created a fake profile using my school photo and posted embarrassing things pretending to be me. It happened once near the start of the year, and then again after the June holidays with a new account. Both times they wrote things about me that were completely made up and very humiliating. My friends told me about it but by the time I found out, many people had already seen it.</t>
  </si>
  <si>
    <t>Fiona has sent me threatening voice messages on WhatsApp a few times, saying she will get her cousin to "whack" me if I don't stop talking to her boyfriend. The first message came out of nowhere. Then it happened again last month after I bumped into her boyfriend at the library. I've screenshotted everything but I don't know who to show it to. I feel very unsafe.</t>
  </si>
  <si>
    <t>Marcus and Ethan, have hit me on the head with their files or books a few times — they call it "just playing." It doesn't leave bruises but it really hurts and I hate it. When I tell them to stop they just laugh and say I'm too sensitive.</t>
  </si>
  <si>
    <t>Hao Ran, has made very explicit sexual remarks to me twice in person — once at the vending machine area and once while I was waiting for the bus outside school. He described sexual acts in detail in a loud voice so his friends could hear, then laughed it off when I looked uncomfortable. I didn't say anything because I didn't want to make it worse. His friends took videos and I don't know if they shared it anywhere.</t>
  </si>
  <si>
    <t>Sheryl secretly took unflattering photos of me eating in the canteen and posted them to her Instagram story with mean captions mocking my weight. She did it once during recess, and then again a few weeks later. Each time the post was only up for 24 hours but many people in school saw it before it disappeared. I've started eating in the toilet so no one can take photos of me.</t>
  </si>
  <si>
    <t>Reuben has cornered me alone in the classroom twice and threatened to beat me up after school. The first time he grabbed my collar and got very close to my face. The second time he shoved me against the whiteboard and said "next time I won't stop." I really dread being alone in the classroom and I always make sure to leave with someone now</t>
  </si>
  <si>
    <t xml:space="preserve">Some boys from another class have flicked rubber bands at my face a few times during school. The first time, it hit my eye and it was red for hours. It happened again during a combined class session. They aim for the face on purpose and think it's funny. </t>
  </si>
  <si>
    <t>Jonathan has sent me sexual messages on Instagram DM twice now. The first time he sent explicit texts describing what he wanted to do to me. I blocked him immediately. Then he made a new account and did the same thing again a few weeks later. I feel disgusted and violated and I'm also scared because he sits just two rows away from me in class.</t>
  </si>
  <si>
    <t>Someone edited a photo of my face onto an indecent image and sent it around a class group chat — it happened once before the holidays and again last month. I don't know who made it but I suspect it's a few boys who always stare and snicker at me. Everyone tells me to just ignore it but it is really affecting me</t>
  </si>
  <si>
    <t>Glendon has twisted my arm behind my back as a "punishment" twice when he felt I wasn't performing well during training. Both times it hurt a lot and left my shoulder sore for days. He says it builds discipline and the other seniors just watch. I don't want to quit CCA because it will affect my DSA, but I dread training sessions now and I wince whenever he walks past me.</t>
  </si>
  <si>
    <t>During two separate group project meetings after school, Terrence kept making sexual jokes directed at me and commenting on my appearance in a very inappropriate way. When I told him to stop, he said I was being uptight and that he was just complimenting me. The other group members stayed quiet. I've been dreading group work ever since and I try to avoid being alone in a room with him.</t>
  </si>
  <si>
    <t>Yuling has threatened me on two separate occasions — once face-to-face in the toilet, and once over Telegram — saying she would get people to "sort me out" if I didn't stop being friends with someone she doesn't like. She's very popular in school and I'm scared that if I tell a teacher she'll make things much worse. I've been walking on eggshells around her for months.</t>
  </si>
  <si>
    <t>A few classmates have poured water or drinks on my belongings twice — once on my bag and once on my notes just before an exam. They pretended it was an accident both times. The first time my assessment book got soaked and I had to redo my work. They laughed when I tried to dry everything. I feel very targeted but because they always say it's an accident, I don't know how to prove anything.</t>
  </si>
  <si>
    <t xml:space="preserve">Jenson and Ray have wolf-whistled and shouted vulgar things at me from across the canteen on a few separate occasions. Once they yelled something sexual when I walked past during recess, and it happened again when I was with my friends near the hall. Both times I felt my face go hot and I didn't know where to look. My friends said to just ignore them but I feel humiliated every time I have to walk past that group. I think they are doing it to other girls also </t>
  </si>
  <si>
    <t>Derrick found an old embarrassing photo of me from primary school and threatened to post it in the class group chat unless I let him copy my homework. It happened once before the mid-year exams, and again a few weeks later before a major test. Both times I gave in because I didn't want everyone to see the photo. I feel very frustrated and I don't know how to make him stop.</t>
  </si>
  <si>
    <t>Ben has asked me for money twice near the tuckshop. The first time he said it was a loan but I knew it wasn't. The second time, a few months later, he came with a friend and said I owed him from before. I gave him whatever I had in my wallet both times. I end up skipping lunch on those days. I haven't told my parents because I'm embarrassed and scared he'll find out.</t>
  </si>
  <si>
    <t>Whenever we have group meetings, Shaun deliberately stands very close to me and speaks over me whenever I try to talk, staring me down until I go quiet. It happened during our English presentation and again during a Science group discussion. The way he looks at me makes me feel very small and i hate it. I've stopped trying to contribute in group work because of him</t>
  </si>
  <si>
    <t xml:space="preserve">Jessica and Glenda have taken my pencil case and thrown its contents into the bin twice now. The first time they threw away my new ruler and correction tape. The second time they scribbled all over my notes before tossing everything out. They said it was just a joke. I had to buy replacement stationery myself and I didn't want to tell my mum why. </t>
  </si>
  <si>
    <t>My friend group has deliberately left me out a few times. Once they planned a class chalet and didn't tell me until after — I only found out because I saw the photos on Instagram. Then during a group outing after the exams, the same thing happened. When I asked why I wasn't invited, they said the group was "full." I sit with them every day in school and they act normal, so it's very confusing and hurtful.</t>
  </si>
  <si>
    <t>Pearlyn knows about something I did and used it against me twice so far. The first time she made me do her part of a group project or she'd tell the teacher. A few months later she said the same thing to get me to cover for her when she skipped class. I just want it to stop.</t>
  </si>
  <si>
    <t>Hafiq has asked me to transfer him money on PayLah a few times, saying he'll "tell everyone my secret" if I don't. The first time I transferred $10 just to make him stop. It happened again last month when he asked for $15. I don't even know what secret he's referring to — I think he's just bluffing — but I'm too scared to call his bluff. I feel stupid for giving in and I don't know what to do.</t>
  </si>
  <si>
    <t>Sometimes I will realise that my bag has missing or damaged things. The first time my water bottle was gone and I found it later in the toilet bowl. The second time someone had slashed my pencil case with a penknife. I'm pretty sure it's Jane and Jack but I can't prove it. My mum asked why I keep losing things and I didn't know what to say. I feel very unsafe leaving my bag unattended even for a minute.</t>
  </si>
  <si>
    <t>A few times this year, my classmates have organised group study sessions at Bishan library and deliberately not told me. I only found out when I saw them all leaving school together. When I confronted them, one girl said it was a "private thing" even though almost the whole class was there. It happened again before the prelims. I've been trying to study alone since then but I feel very left out and it's affecting my focus.</t>
  </si>
  <si>
    <t>Zac has sent me threatening messages on Discord twice, saying he'll spread rumours about me to everyone in school if I don't stop "acting like I'm better than him." The first time I ignored it. The second time the message was more specific — he named my friends and said he'd tell them things about me. I don't even know what he'd say because I haven't done anything wrong. I feel very unsettled and I've been avoiding him in school.</t>
  </si>
  <si>
    <t>Wanying, has humiliated me in front of the whole CCA twice by singling me out during training and shouting at me in a very degrading way — telling me I'm useless and that I shouldn't have joined. Both times I had to hold back tears in front of everyone. The other members just looked away. I dread CCA sessions now and I've been thinking of finding an excuse to quit even though I actually enjoy the activity.</t>
  </si>
  <si>
    <t>Someone has written vulgar words on my textbooks a few times this year — I only noticed when I opened them in class. The first time it was on my English textbook, the second time on my Maths file. Everyone could see it when I was doing classwork. I'm pretty sure it's a few boys who sit behind me who think its funny but I have no proof. I feel very embarrassed and I've started covering my books so no one can see the writing.</t>
  </si>
  <si>
    <t>Mindy has asked to "borrow" money from me twice but she never returns me the money. The first time it was $5 for bubble tea. The second time it was $12 and she got her friends to stand around me while she asked. I felt pressured and gave it to her. When I tried to ask for it back the next day she pretended not to know what I was talking about and her friends laughed.</t>
  </si>
  <si>
    <t>My classmates have removed me twice from group chats — once from the main class group, and once from a project group chat — without any explanation. Both times I only found out when I couldn't see messages others were referring to in class. When I asked to be added back, people made excuses or ignored me. I had to find out information about class events through others. It made me feel very invisible and like I don't belong in my own class.</t>
  </si>
  <si>
    <t>Kenneth knows I like someone in school and has threatened twice to tell that person if I don't do what he says. The first time he made me buy him food from the canteen for a whole week. A few months later, he came back and said he'd tell my crush unless I helped him with his assignment. I feel very embarrassed and manipulated. I've started avoiding the person I like just so there's nothing for Kenneth to use against me.</t>
  </si>
  <si>
    <t>Royston has made a point of laughing loudly at everything I say in class on a few occasions — the moment I speak, he would whisper to the person next to him and they'd both snicker. It happened during an oral presentation and again during a class discussion. I've started speaking much less in class because I'm scared of being laughed at again. My grades for class participation have dropped.</t>
  </si>
  <si>
    <t>My school shoes have been hidden or damaged twice this year during PE. The first time someone hid one shoe so I had to limp around looking for it and was late back to class. The second time, both shoes were left in a puddle and were soaking wet for the rest of the day. I had to walk around in wet shoes and everyone noticed. I now carry my shoes with me everywhere during PE, which is very inconvenient.</t>
  </si>
  <si>
    <t>Some boys in my class have called me "four-eyes" and "nerd" a few times because I wear glasses and do well in school. It happened once during recess when I was reading, and again during a free period when the teacher was out. They said it loudly enough for others to hear and a few people laughed.</t>
  </si>
  <si>
    <t>Joanna has teased me a few times about the way I speak — I have a slight stutter and she mimics it in front of others. People around her will giggle when this happens. Now I dread speaking up in class because I'm scared it'll happen again.</t>
  </si>
  <si>
    <t>Beilin has told everyone a few times that I had copied someone's homework, which is not true.  They will then whisper and give me odd looks. I feel frustrated that she keeps making things up about me.</t>
  </si>
  <si>
    <t>Aloysius and Daryl, have hidden my water bottle twice as a prank. The first time I spent the whole recess looking for it and only found it on top of the lockers after they told me where it was. The second time they hid it inside someone else's bag. They laughed and said it was just for fun, and I did get it back both times, but I don't find it funny at all.</t>
  </si>
  <si>
    <t>Whenever I share an idea during group work, Raymond dismisses it immediately and says things like "that's a stupid idea" or "why would anyone think that." It has happened a few times across different projects. The rest of the group usually just goes along with him.</t>
  </si>
  <si>
    <t xml:space="preserve">My classmates have excluded me from choosing groups a few times during PE. Whenever the teacher says to form groups, everyone quickly pairs up and leaves me standing alone, so I always end up in the leftover group. It happened at the start of the year and again last month. </t>
  </si>
  <si>
    <t>A few people in my class have called me "cheena" and made fun of the fact that I speak Mandarin at home, saying I'm "not cool" because of it. It happened once when I accidentally spoke Mandarin in front of the group, and again when I brought home-cooked Chinese food for recess. Both times I felt ashamed of something I shouldn't be ashamed of. I've started speaking only English at school and packing western food so no one will tease me.</t>
  </si>
  <si>
    <t>Zen and her squad have teased me a couple of times about my height since I'm shorter than most people in class and they make jokes like "need a ladder?" when I reach for something. It happened during a PE warm-up and once during a class photo. They seem to think it's harmless but I feel very self-conscious about my height already and the comments make it worse. I try to laugh it off but I go home feeling bad about myself.</t>
  </si>
  <si>
    <t>Terrence told people twice that I like a girl in class who I am actually just friends with. The first time he said it loudly during recess and a few people teased me about it. The second time he brought it up again in a group chat. It's not true and it made things very awkward between me and my friend.</t>
  </si>
  <si>
    <t>Melissa has made comments about my appearance twice — once saying my school uniform looked "sloppy" in front of others, and another time saying my haircut looked "like a auntie cut it." Both times she said it casually, like she was just stating a fact. Other people around her will laugh at me when she says that. I feel abit insecure about how I look now.</t>
  </si>
  <si>
    <t>My classmates have teased me a couple of times about my lunchbox — my mum packs me Indian food and a few of them have made comments about the smell and said things like "wah so smelly." It happened once in the canteen and again during a class party when I brought food from home. I felt very embarrassed and also sad because my mum puts effort into cooking for me. I've asked her to just give me canteen money instead.</t>
  </si>
  <si>
    <t>My class has a tradition of celebrating birthdays together during recess. My birthday was skipped twice — once last year and once this year — even though everyone else's was celebrated. When I asked a friend about it, she said they just forgot. But I noticed they remembered everyone else's, including people who joined the class after me.</t>
  </si>
  <si>
    <t xml:space="preserve">Junhao has teased me a couple of times about my family's old car — he saw my parents drop me off and made jokes about it to the group, saying things like "wah, what year is that car from." It happened once at the school gate and again when my parents came for a school event. I felt embarrassed on behalf of my parents even though they work very hard. </t>
  </si>
  <si>
    <t>Every week since the start of the year, Ethan and his friends will corner me and start punching me in the stomach and kicking my legs. Last Tuesday they hit me so hard I could not stand up properly and my left knee was swollen by the time I got home. There was bad bruising. They have done this so many times already and each time it gets worse.</t>
  </si>
  <si>
    <t>I have seen Ethan and his group go after Darren behind the canteen so many times already, like every week this whole year. Last Tuesday I was walking past and I saw them shoving him against the wall and punching him repeatedly. Darren was bent over and he could not even walk straight after.</t>
  </si>
  <si>
    <t>Darren always gets targeted by the same group of boys near the back of the canteen every Monday this year. Last week I saw them kick him in the leg area multiple times. He fell against the wall and his face looked like he was in a lot of pain. I have seen bruises on his arms before during PE and I think it is because of them.</t>
  </si>
  <si>
    <t>Roslan and Danial keep threatening me with a penknife after school near the bus stop. It has happened so many times, like every week they will be waiting for me there. They flash the knife at me and tell me to give them my money or they will cut me. Last Thursday one of them actually pressed the blade against my arm and left a small cut. I was bleeding and I had to use my school shirt to cover it. I am terrified every single day when school ends.</t>
  </si>
  <si>
    <t>I take the same bus as Haziq and I have seen Roslan and Danial surrounding him near the bus stop many times already. Last Thursday I was standing not far away and I could clearly see one of them holding something shiny. He pressed it against Haziq's arm and I saw Haziq wince and then quickly cover his arm with his sleeve. There was a small dark patch on his sleeve that looked like blood. This has been happening week after week every Thursday for so long.</t>
  </si>
  <si>
    <t xml:space="preserve">I walk past the bus stop every Thursday and I always see the same 2 guys surrounding Haziq. It always looks very threatening. Last Thursday was the worst I have seen. One of them had what looked like a penknife and he was holding it close to Haziq's arm. Haziq looked completely frozen and scared. I could see he was trying not to cry. </t>
  </si>
  <si>
    <t>Chloe and Mei Ling keep sending me messages every day telling me to go and die or to cut myself. They spam me on Telegram with things like "nobody wants you here" and "just end it already." They also post-edited photos of me on a class group chat making me look ugly and writing horrible things about me. Last night they sent me a long voice message from a fake account saying the whole class hates me and I should just disappear. I have been crying every night and I keep thinking about what they said.</t>
  </si>
  <si>
    <t>I am in the same class as Rachel and I have seen the messages they keep sending her in the group chat so many times already it's getting sian. Again and again they photoshop pictures of her with really horrible captions. Last night someone from a fake account sent a voice message in the group that said the whole class wanted her gone.</t>
  </si>
  <si>
    <t>Rachel showed me some of the private messages she has been getting on Telegram. They keep telling her to hurt herself and that no one cares if she disappears. It is not just once, she told me she lost count how many times already this year. Last night she called me crying because of a voice message someone sent her from a fake account. I have also seen what gets posted in the class group chat and it is really bad. She looks more and more withdrawn every day at school.</t>
  </si>
  <si>
    <t>Gopal and Hamzah keep doing this to me in the corridor near the staircase after school. They have done it way too many times already this year. They will block my way and grab me, touching me inappropriately even when I tell them to stop and push them away. Last week they also filmed it on a phone and I could see them laughing. I feel so disgusted and scared every time school ends. I am scared of going near them. My hands were shaking the whole bus ride home last Wednesday and I could not stop shaking even when I got back.</t>
  </si>
  <si>
    <t>Damn gross this Gopal and Hamzah keep cornering Amirah near the back staircase many times. It always happens after school. Last Wednesday I walked past and saw one of them grabbing her skirt while the other one held up a phone. Amirah was struggling and telling them to stop but they were laughing. I could tell from her face that she was really distressed. This is not the first time I have seen something like this happen to her. It keeps happening and each time it looks worse.</t>
  </si>
  <si>
    <t>I was walking to the staircase last Wednesday when I saw Gopal and Hamzah blocking Amirah's path. One of them was grabbing her skirt and she was clearly trying to push him away. The other one had his phone out and looked like he was recording. Amirah's face was red and she looked like she was about to cry. I have seen them bother her in that same spot many times before. The fact that they are now filming it makes it so much worse. This has been going on for the entire term...</t>
  </si>
  <si>
    <t xml:space="preserve">Since last year, someone from my school created a fake Instagram account using my photos and posted my full name, home address, number and class, and my social media for everyone to see. They have been updating it constantly with new information about me, like what time I leave school, which bus I take, and even photos of me taken without my permission while I am on the bus or walking home. Every single day I get messages from strangers on my personal account saying disgusting things because of what that page is posting about me. My friends told me the account has been shared into multiple group chats and the follower count keeps going up. I am scared to leave the house alone now. </t>
  </si>
  <si>
    <t>I was in one of the group chats where the fake account link was first shared. Since then it has been all the time, like every few days there will be a new update on the page with new photos of Valerie taken around the school area or on public transport. Someone is clearly following her and photographing her without her knowing. The account posts her personal details constantly and I have seen people commenting and sharing it further. It has spread to so many group chats already. I feel very scared for her because whoever is doing this clearly knows her daily routine inside out.</t>
  </si>
  <si>
    <t>I sit near Valerie in class and I can tell she has been very affected by this for months already. The fake account is something a lot of people in school know about because it has been circulating non-stop in various Telegram and Instagram group chats since last year. Every day there seems to be a new post, sometimes it is a photo of her taken from behind while she is walking, sometimes it is updates on where she is. I have seen some of the messages strangers send her and they are very threatening and vulgar. This has been going on for so long and it is clear that whoever is behind it is physically following her in real life as well.</t>
  </si>
  <si>
    <t>I have been watching this situation go on for months and it has been constant. The account posts about Valerie almost every day and the things they share are very specific, like the exact time she boards the bus and which seat she usually sits at. That means someone is physically watching and following her all the time. Her home address has been pinned on the account for months and even though people have reported it the account keeps coming back. I have seen the comments on the posts and some of them are really alarming threats from people she does not even know. Valerie looks exhausted and frightened every day at school and I completely understand why because this has genuinely not stopped at all since last year.</t>
  </si>
  <si>
    <t>I don't even know how they got the photos. They were just normal pictures I sent to who I thought was a friend in a private chat, like me at home in my pyjamas, me having a bad skin day, me venting and crying after a bad exam. Since last year, someone has been screenshotting everything and sharing them in class group chats and even to people from other schools. Every day I wake up and check my phone and there are new places the photos have shown up. Someone made a fake Instagram account using my photos and has been posting them with horrible captions and tagging my classmates.</t>
  </si>
  <si>
    <t>Since last year, someone in our cohort has been sharing Mei Ling's private photos around. Like not anything inappropriate but personal stuff, like her crying or looking really bad on a rough day, the kind of photos you only send to someone you trust. Every few weeks a new batch appears in some chat and people start passing it around and laughing. I keep seeing these photos being forwarded into random group chats I am in. Someone also made a fake Instagram account of her and it keeps coming back every time it gets reported. The creepy part is whoever is running the account always seems to know when Mei Ling posts something new</t>
  </si>
  <si>
    <t>It has been going on for months and it is honestly very disturbing to watch. Every time Mei Ling posts something online, within like minutes there will be comments from some unknown account and everyone in class kind of knows what is happening but nobody knows exactly who is behind it. The fake accounts keep coming back and whoever runs them clearly spends a lot of time tracking her because they always manage to find her new accounts too. People keep forwarding her private photos in chats as a joke but I don't think it is funny at all. I see Mei Ling in class every day and she looks really tired and stressed all the time. She used to be quite cheerful but now she barely looks at her phone</t>
  </si>
  <si>
    <t>My friend added me to this group chat a few months back and that was the first time I saw Mei Ling's private photos being shared around. I didn't really know her then but I started noticing that this kept happening again and again, like every few weeks new photos of her would pop up somewhere. Then someone showed me this fake Instagram account made using her pictures and the captions were really mean. It has been going on for so long and whoever is doing it is clearly very obsessed with making her life miserable.</t>
  </si>
  <si>
    <t>I saw Darren and his friends break a window in school last month. Since then, every day after school Darren and his friends will wait for me near the gate and tell me things like "you better not tell anyone or you'll regret it" and "we know where you live." This has been going on since last year and I am scared to even walk home alone now. They will stand very close to me and whisper these things so the teachers cannot hear. Sometimes they will follow me part of the way home just to scare me.</t>
  </si>
  <si>
    <t>I always see Darren and his group surrounding Kai Xuan near the school gate after school. They will stand very close to him and say things in a low voice. Kai Xuan always looks very pale and stiff, like he is scared to even move. This happens basically every single day. Once I walked past and I could hear Darren saying something like "don't try to be funny." I just walked faster because I also scared they will target me.</t>
  </si>
  <si>
    <t>I have seen this so many times already, practically every afternoon. Darren and his friends will corner Kai Xuan and talk very close to his face. Kai Xuan never fights back, he just looks down and nods. One time I saw him almost tearing up when he finally walked away. It has been going on for damn long, almost 2 months already. I feel bad seeing it but I also do not know what to do.</t>
  </si>
  <si>
    <t>Every day during recess and group work, my classmates will act like I am invisible. If I try to sit with them they will shift their chairs together or suddenly say the seat is reserved. This has been happening non-stop since the start of the year. During PE they will always make sure I am the last pick and then complain loudly about having me in their group. In the group chat they will make plans and leave me out, and if I ask what is happening they will just leave me on read or reply with one word. I feel so alone every single day in school.</t>
  </si>
  <si>
    <t>I sit next to Nurul Izzah in class and I can see every day how the others treat her. During group discussions they will just not look at her or include her in the conversation at all. One time she tried to contribute an idea and nobody responded, they just continued talking over her. This happens all the time, like it is already a normal thing for them. I can see she is affected because she has stopped trying to talk to them.</t>
  </si>
  <si>
    <t>The whole class basically ignores Nurul Izzah on purpose. During recess I see her sitting alone almost every day because whenever she approaches a table, people will suddenly say the seats are taken or they will move away. It is very obvious it is not a coincidence because it happens constantly. I have also seen the class group chat where people will plan things and deliberately not add her. She must feel very terrible because this has been going on for months already.</t>
  </si>
  <si>
    <t>Almost every day I will find something missing from my bag or my desk. My stationery, my EZ Link card, my snacks, my earphones, all have gone missing at different times. This has been happening non-stop for months. I know it is Marcus and his friends because one time I saw Marcus using my ruler and when I said it was mine he just laughed and said I was lying. When I go to the toilet or step out of class, I always come back to find things rearranged or gone. I have had to spend so much of my own pocket money replacing things.</t>
  </si>
  <si>
    <t>I have seen Marcus and his friends go through Boon Kiat's bag many times when Boon Kiat is not around. They will take things out, laugh among themselves, and either keep it or throw it somewhere. One time I saw them take his EZ Link card and pass it around like it was a game. This happens all the time, almost every day. Boon Kiat always comes back looking confused and stressed when he realises his stuff is gone again.</t>
  </si>
  <si>
    <t>It is very obvious to me that Boon Kiat's things keep going missing because of Marcus's group. I have seen them hovering around his desk when he is not there multiple times. Once they took his water bottle and hid it in the storeroom and spent the whole day laughing about it. Boon Kiat had to go thirsty the whole day. This kind of thing happens constantly, but he really seems helpless about it.</t>
  </si>
  <si>
    <t>Since last year, people in my school have been spreading rumours about me online non-stop. There is a Telegram group I am not part of where they post fake stories and screenshots taken out of context about me. My friends told me about it and showed me some of the messages. They say I am a backstabber and that I do shameful things, all of which are completely not true. Every day there seems to be something new. People I do not even know personally will give me weird looks in the corridor or unfollow me on Instagram.</t>
  </si>
  <si>
    <t xml:space="preserve">I am in the Telegram group where people keep posting things about Hui Ling. Everyday almost got new messages, either a fake story or a screenshot being shared and exaggerated. The people running it are Hannah and her clique. They will post things like "did you know Hui Ling did this" and everyone in the group will just laugh and add on. It has been going on since last year. </t>
  </si>
  <si>
    <t>My classmates were showing me this Telegram group the other day and I was shocked because there is so much stuff about Hui Ling in there. The messages go back really far, like months and months of people posting gossip and made up stories about her. People are tagging their friends and laughing in the comments. Hannah seems to be the one who keeps posting new things to keep it going. I can tell it is affecting Hui Ling because she seems very withdrawn lately and I heard she deleted her Instagram.</t>
  </si>
  <si>
    <t>Every day at school, Amanda and Lisa keep calling me "Bushy Brows" because of how my eyebrows look. It has been going on since last year and I am so tired of it. Every single morning when I walk into class they will start giggling and whispering. Sometimes they say it loud enough for the whole class to hear, like "watch out, bushy brows is here." I just pretend I cannot hear but honestly it is damn annoying. It happens all the time, every day without fail.</t>
  </si>
  <si>
    <t>Every day in class, my friends Lisa and Amanda keep calling Amirah "Bushy Brows" right to her face or loudly enough so she can hear. It has been going on since last year, non-stop. This morning it happened again when she walked in and they all started laughing. Amirah just looked down and went to her seat.</t>
  </si>
  <si>
    <t>I sit two rows behind Amirah and every day without fail the same girls Amanda and Lisa will start making comments about her eyebrows the moment she walks in. They think it is funny but it is literally the same joke every single day since last year. This morning they did it again and the whole class heard.</t>
  </si>
  <si>
    <t>My class has a group chat and every day my classmates keep posting memes and screenshots making fun of me. It has been going on all this time, non-stop since the start of the year. They roast me about my voice, saying it sounds like a dying cat, and they keep tagging me in the posts so I cannot ignore it. Last night they posted another one of those memes and everyone was reacting with laughing emojis. When I mute the chat I still see the notifications piling up. It is every day, even on weekends.</t>
  </si>
  <si>
    <t>The class chat has been roasting Kelvin about his voice non-stop since the start of the year. Every day there will be some new meme or voice clip someone edited to make him sound worse. Last night someone posted another one and everyone was going crazy in the chat with laughing emojis. Kelvin was tagged directly so he definitely saw it. It happens literally all the time, even during the holidays they kept going.</t>
  </si>
  <si>
    <t>every single day someone will post something mocking Kelvin, mostly about his voice. It has been constant since the beginning of this year. Just last night it happened again and even people who do not usually join in were reacting to the posts. I just leave the chat on mute because it makes me uncomfortable but it is genuinely every day without fail.</t>
  </si>
  <si>
    <t>Every day during recess my classmates just walk off without me. It has been like this for months now. We used to all go to the canteen together but one day they just stopped including me and it has been non-stop since then. I will be packing up my bag and by the time I look up everyone is already gone. Sometimes I hear them planning where to go right in front of me and nobody says anything to me. I have been eating alone at the corner table every single day.</t>
  </si>
  <si>
    <t>Every day during recess the whole group just walks off and leaves Linda behind. It has been going on for months already. I noticed it today again when we were all leaving class and she was right there but nobody said anything to her.</t>
  </si>
  <si>
    <t>Hui Ling just gets left behind everyday these few weeks during recess without anyone telling her where we are going. Today it happened again, we were all walking out together and she was right there and nobody even looked at her. I felt really bad but I did not say anything either because I did not want to be the one to make it awkward.</t>
  </si>
  <si>
    <t xml:space="preserve">Since last year, people in school keep spreading gossip that I like this girl in 3B and they keep exaggerating the story and adding new details. Now the version going around is that I apparently wrote her a love letter and got rejected super badly and cried. That never happened. But every day someone new finds out and comes to tease me about it or bring it up. </t>
  </si>
  <si>
    <t>There has been this rumour going around about Reuben since last year. It keeps getting passed around all the time and the story keeps changing and getting more and more exaggerated. I heard it again today during PE when some guys from 3B came over and started teasing him about it. Reuben looked super embarrassed</t>
  </si>
  <si>
    <t>The gossip about Reuben has been going around school constantly since last year. I keep hearing different versions of it and every time someone new brings it up the story sounds more dramatic. Today during recess Viknesh was talking about it again and laughing. Reuben was nearby and I think he heard them</t>
  </si>
  <si>
    <t>Marcus, Adrian, Ben, and Shawn disturb me sometimes. They make comments about my weight and occasionally throw things at me. This has happened a few times, including last time when I was alone after class streaming. Previously, when my friends were around, we brushed it off. After being separated, I had to handle it myself. The incidents still happen once in a while. I noticed they are mainly trying to get a reaction from me rather than seriously harm me. The behaviour feels like intimidation and social pressure, especially when I am alone.</t>
  </si>
  <si>
    <t>I saw Jason being disturbed by Marcus, Adrian, Ben, and Shawn a few times. They make comments about his weight and sometimes throw things at him. After streaming, Jason is more often alone, and the incidents continue once in a while. The behaviour appears to be intimidation and mild harassment rather than serious physical harm.</t>
  </si>
  <si>
    <t xml:space="preserve"> Zaki, Hafiz, Joel, and Amir disturb me once in a while. They pass comments about my weight and sometimes throw things at me. This happened a few times previously when I was with my friends, and we ignored it.
After streaming, I am separated from my friends and face these situations alone. The behaviour still occurs sometimes, and I need to manage it myself.
From my observation, they are trying to provoke a reaction and create embarrassment rather than cause serious harm. The behaviour is mainly intimidation and targeting.</t>
  </si>
  <si>
    <t>Zaki, Hafiz, Joel, and Amir disturb me sometimes. They make remarks about my weight and, on a few occasions, throw things at me. When I was still with my friends, we ignored it and treated it as nothing serious. After streaming, I am separated from them, and I now face these situations alone. The same behaviour continues once in a while. I have noticed that they are mainly looking for a reaction and using me as an easy target when I am alone. It feels like social pressure and intimidation rather than serious harm.</t>
  </si>
  <si>
    <t>Wei Jun, Jun Kai, and Marcus in my table group have started tearing my textbooks again this week. It already happened before, and I thought it was a one-time thing, but they repeated the same behaviour. I am the only non-Chinese in the group, and I also have a strong foreign accent and issues with my weight, which may be why they keep targeting me. When it happens, I do not react and just sit there while my things get damaged. They make me feel hopeless and discouraged, especially since it involves my personal belongings being destroyed again.</t>
  </si>
  <si>
    <t>Dylan Koh has disturbed me a few times in school. He made vulgar comments about me in front of the class, which caused embarrassment. On another occasion, during a basketball session, he pushed me, and I needed help from classmates. It has also happened before where he shared my Instagram photo to make fun of my appearance, and others laughed at it. These happens once in a while.</t>
  </si>
  <si>
    <t xml:space="preserve">Every week during HCL lessons and we swap classes, this group of classmates keeps calling me names like “siao one” and “useless” whenever I answer questions. It's not like I'm trying to be the teacher's pet but I just want to learn, but they keep snickering at me and calling me names for trying my best in class. </t>
  </si>
  <si>
    <t xml:space="preserve">During group work, I get left out on purpose sometimes by my classmates like they will form groups quickly and say they “no space already” even before I ask. Sometimes they sit together and ignore me completely while discussing. Then in the end the teachers usually have to manually assign me to a random group that clearly doesn't want me. It's so embarassing omg. </t>
  </si>
  <si>
    <t xml:space="preserve">In our class group chat, a few classmates keep sending messages making fun of me like “dumb shit” or reacting with laughing or clown emojis whenever I send something into the chat, even if it's something serious like about schoolwork. Its been happening for a week and it happens almost every time I send a message, and it's getitng very frustrating but they keep ignoring whatever I say even if its important. </t>
  </si>
  <si>
    <t>En Jun in my class keeps getting called a "loser" and "autistic" almost daily by the other guys in the class. They only started doing this recently I think after En Jun upset a few of them over some squabble but I don't know the details either. They repeat it whenever they see him, especially in the morning on the way to the hall for assembly, and he always looks like he tries to play along but he also looks kinda uncomfortable.</t>
  </si>
  <si>
    <t xml:space="preserve">For the last few PE classes, a few classmates keep saying things like “fat cow” or “fatass elephant” to me every week during PE class. I get it I'm fat and big but its quite embarassing for them to keep saying this to me and in front of all the other people in the class too. </t>
  </si>
  <si>
    <t>Ever since I ratted out Kieron for not doing his tutorials to our science teacher two weeks ago, now whenever I answer questions in class, he will keep repeating what I say in a mocking tone to get back at me. Now I don't really want to speak up in class anymore. I technically didn't do anything wrong...</t>
  </si>
  <si>
    <t>For the past few weeks, a group of boys in my cohort keeps purposely bumping into me in the corridor. Sometimes they shoulder-check me quite hard while walking past and laugh after that. I've never spoken to them in person actually and I have no idea why they're doing this I don't even know them.</t>
  </si>
  <si>
    <t>Since I transferred over to this school 2 weeks ago, some classmates have been taking my stationery during lessons, like my eraser or ruler, and they pass it around the class among each other silently. I have to ask and plead multiple times before I get it back, and sometimes I jsut never get it back at all. It keeps happening even though I’ve told them to stop.</t>
  </si>
  <si>
    <t>During PE lessons, a few classmates sometimes tease me and push me lightly when we are lining up or playing games. They say things like “you so slow” and laugh at my weight. It makes me feel very left out and it's not my fault I'm bigger sized that them even though I already tried my best to lose weight.</t>
  </si>
  <si>
    <t>In school, some classmates like Bing Zhe keep messing with my things during recess, like moving my tray or taking my drink and pretending it’s a joke. It has happened a few times over the past few weeks when I bump into them in the canteen, and they usually only return it after laughing at me.</t>
  </si>
  <si>
    <t xml:space="preserve">I've seen Bing Zhe and his gang messing around with Jun Hui's things during recess, like moving his tray or taking his drinks and hiding them away. He doesn't have time to eat properly after they do all these funny nonsense to him. </t>
  </si>
  <si>
    <t>In class, some classmates have been taking my pencil case occasionally and hiding it around the classroom as a joke. I usually have to search for it or ask them to return it while they laugh. I alr told them that pencil case is very important to me but they just don't care.</t>
  </si>
  <si>
    <t xml:space="preserve">Yu Jie keeps tapping or flicking me during lessons whenever the teacher isn’t looking. It’s not painful most of the time, but he's been doing it quite often recently and it annoys me a lot because I can't focus, and he just laughs at me when I threaten to tell the teacher and call me a coward because it doesn't even hurt. </t>
  </si>
  <si>
    <t>I've been seeing Julia being called names like “fatty” or “slowpoke” by this group of girls from class 6C recently. When they pass by her in the canteen or during queueing they say it loudly enough for others to hear, and purposely bumps into her. She just looks down and turns away but she looks bothered by it but no one stands up for her.</t>
  </si>
  <si>
    <t xml:space="preserve">Javier's notes are being repeatedly taken by his classmates and passed around even without his permission. He always struggles to try and get it back but he can't against so many of them. </t>
  </si>
  <si>
    <t>My classmates especially the boys have been taking my notes without my permission recently because exam is coming and they're lazy to make their own, and even though I've said no, they just snatch it from me or steal it from my bag when I'm not looking. This is so unfair.</t>
  </si>
  <si>
    <t xml:space="preserve">I think Zane from next class is in some sort of argument with Aloysius from our class. I saw him stop him briefly in the corridor quite a few times the past few days and he doesn't hit him but stands very close and sometimes block his path while making comments like “try me lah”, like he's trying to scare him liddat. </t>
  </si>
  <si>
    <t xml:space="preserve">Ron has been taking my worksheets and assignments and pretend like he's trying to “help,” but then either blatantly copy my work or laugh at my answers with his group of friends. Sometimes he gives the worksheet back but its in a torn and tattered state as well...  </t>
  </si>
  <si>
    <t>Chloe, Megan, and several others keep spreading a false rumours about me. It keeps happening, and because of that, many people have started distancing themselves from me. Classmates avoid talking to me, and I am often left out because they are afraid of becoming the next target. People have been avoiding me wherever I go. Even my friends are hanging out without me. I hate going to school. I recently have started avoiding school by telling my family I am unwell. I need help</t>
  </si>
  <si>
    <t>I am being bullied by multiple classmates. They even  made fake accounts using my name on Instagram and post bad things using those accounts. Many times during recess, they  take my money, leaving me without food. When I leave my seat, such as going to the toilet, I return to find my belongings thrown out of my pencil case onto the floor. I don't know how tell my parents.</t>
  </si>
  <si>
    <t>I think  Amir is being targeted by Daniel, Marcus, and some other classmates. I overhead them discussing plans to harass him. I heard from others that they have also been taking his money during recess every week and disturbing his belongings by throwing items from his pencil case onto the floor.</t>
  </si>
  <si>
    <t>Every week Joey and Rachel will come to my class, one of them will take out a  pen knife and threaten me. They tell me to hand over all my money or food whenever they approach me. I do not argue anymore as I am afraid of what they might do.</t>
  </si>
  <si>
    <t>Imran and Boon Keng have been targeting me again and again. Many times they acted aggressively towards me, and recently, they seriously injured my leg.  During one of the recent incident, some of my classmates confronted them during recess, surrounding them and making it clear that their behaviour was unacceptable. Despite this, they still keep attacking me.</t>
  </si>
  <si>
    <t>I have been seeing Imran and Boon Keng disturbing Jon many times the last few weeks. I saw them being aggressive to him, with one incident resulting in serious injury to Jon's leg. These incidents occur frequently and have created concern among classmates. Some of us confronted Imran and Boon Keng during recess to stop the behaviour. I dont think they have stopped.</t>
  </si>
  <si>
    <t>Aaron and Louis have been constantly targeting me the last few months. They have been very aggressive to me, pushing me and hitting me in the back of my head. They even injured my knee once. The incidents happen all the time, and Im always scared when I am around them. After the injury, a group of my classmates confronted them during recess to intervene and stop the behaviour. They just laughed it off and called me a loser.</t>
  </si>
  <si>
    <t>Aaron and Louis have been consistently targeting Roger. I saw them hitting them Roger behind the staircase near the hall. Recently, they caused serious injury to his leg. I keep seeing them bring Roger to that staircase. Some of us responded by gathering in large numbers during recess to confront the bullies and prevent further harm. I dont think they took our warning seriously.</t>
  </si>
  <si>
    <t>Jayden Tan and his group have been bullying me many times in school. The incidents include physical actions and repeated name-calling, which happen every week. Because of this, I avoid the canteen and stop eating there to prevent contact with them. I have also withdrawn from my friends as I feel overwhelmed dealing with the situation. I feel unsafe in school and struggle to get through each day without feeling anxious.</t>
  </si>
  <si>
    <t xml:space="preserve">I think Ethan has beenn frequently targeted by Jayden Tan and his group. The bullying includes physical actions and repeated verbal insults. I dont see Ethan common areas such as the canteen anymore and I heard from his friends he  has reduced interaction with them. The incidents occur many times and appear to be ongoing.
</t>
  </si>
  <si>
    <t>Dylan Tan, Marcus Lee, and Shaun Ong have been bullying me many times over the past few months. The incidents include repeated verbal insults, racial slurs, and actions such as shoving me, damaging my stationery, and interfering with my work. They have used offensive language towards me, including racial remarks and other hurtful insults. Recently, during class, two of them physically assaulted me.</t>
  </si>
  <si>
    <t>I believe Kumar has been a frequent target for Dylan Tan, Marcus Lee, and Shaun Ong. I overheard from some classmates that Kumar has been repeatedly verbally insulted with racial slurs, and actions such as shoving and damaging his belongings. Recently I saw two of the bullies physically assaulted Kumar.</t>
  </si>
  <si>
    <t>Marcus Lee has been targeting me many times. It started with verbal remarks and has progressed to physical actions. The incidents happen frequently and make me feel tense and on edge in school. At first, I felt a lot of anger towards him and held onto it for a long time. Now, I dont know what to do.</t>
  </si>
  <si>
    <t>I observed that Ryan Tan showing signs of distress over time, becoming quieter. I then heard froma friend that Marcus Lee had been targeting him frequently, with behaviour escalating from verbal remarks to physical actions.</t>
  </si>
  <si>
    <t>Brandon Tan, Marcus Lee, and others have been targeting me many times in class. They frequently punch me without warning and involve me in rough physical behaviour. I went along with it because I wanted to fit in with them, but the actions were not enjoyable and made me uncomfortable. Even though I did not resist, it created ongoing discomfort and pressure for me.</t>
  </si>
  <si>
    <t>I saw Jason is frequently involved in rough physical behaviour initiated by Brandon Tan, Marcus Lee, and others. This includes repeated punching and treating him as part of a wrestling act. The incidents occur many times and appear ongoing.</t>
  </si>
  <si>
    <t>Dillon and a group of classmates have been bullying me many times. They repeatedly call me names such as “smelly,” “stinky,” and other insulting words. I have also been pinched and physically beaten on a few occasions. These incidents happen frequently and I am often excluded from group activities in class. When I am paired with someone by the teacher, they also join in making fun of me, and others may laugh along. It has made me avoid classmates and feel unsafe both in and outside school.</t>
  </si>
  <si>
    <t>Kevin is frequently targeted by Dillon and a group of classmates. I saw them name-calling him alot. Recently, they have been pinching him alot. These incidents occur many times and many times others join in the teasing.</t>
  </si>
  <si>
    <t>A group of classmates have been targeting me many times in class. They repeatedly call me “German Shepherd” because I am German-born, and also use insulting terms such as “Nazi.”  This has been happening frequently. They recently started to hit and kick me.</t>
  </si>
  <si>
    <t>I think Adrian is frequently targeted by Dominic and his friends. I heard them name-calling Adrian with hurtful names like “German Shepherd” and “Nazi". Some friends of mine said that they saw Adrian getting kicked  by them near the level 3 toilet.</t>
  </si>
  <si>
    <t>Xavier and John have been targeting me for awhile. They frequently kick me, flick my head, and take my stationery, often pretending it is a joke. I am also regularly called names and excluded from group activities in class.
There was one incident where one of them pushed me down the stairs and I sprained my ankle. This made me feel unsafe around them but I dont know who to go for help.</t>
  </si>
  <si>
    <t xml:space="preserve">I believe that Ethan Lim has been targeted by Xavier and John for a period of time. Im unsure how long. I know they have been kicking him repeatedly, flicking his head, taking his stationery, and name-calling. I remember seeing Ethan with an ankle brace one day. I heard from some friends that he got pushed by Xavier down the stairs. </t>
  </si>
  <si>
    <t>Jasmine and a group of classmates have been targeting me many times near the side gate area. There were earlier instances where they surrounded me and I felt very uncomfortable. Today, the situation escalated. Jasmine Tan hit me, and another girl twisted my arm very forcefully, causing me pain and distress. I was in so much pain. I had wear an arm brace after that incident.</t>
  </si>
  <si>
    <t>I have seen Nurul being bullied by Jasmine Tan and friends near the school side gate. Today, I saw Jasmine Tan struck Nurul and another student forcefully twisted her arm. She was screaming so loud.</t>
  </si>
  <si>
    <t>Alvin has have been targeting me for awhile. Every week he comes and show a flick knife to me as a threat. Because of this, I often feel forced to give them money or food without resisting.</t>
  </si>
  <si>
    <t>Several boys in my class have been bullying me again and again. They usually kick and flick the back of my head. They also like to take my stationery and don't return it. Even when I tell them to stop, the behaviour continues. Over time, I have stopped expecting to get my belongings back. Because of this, I often feel reluctant to go to school. They always say that "its just a prank bro". Recently, I was almost pushed down the stairs by Goh.</t>
  </si>
  <si>
    <t>TEMPORARY TABLE for me to keep track of how many of each additional reports ive added -yt</t>
  </si>
  <si>
    <t>Count of severity_score</t>
  </si>
  <si>
    <t>(blank)</t>
  </si>
  <si>
    <t>Grand Total</t>
  </si>
  <si>
    <t>so in total aiming for this table + the pivot table to give 25 per type?</t>
  </si>
  <si>
    <t>Actual total (not counting blank rows)</t>
  </si>
  <si>
    <t>David's additions (added to model_data sheet)</t>
  </si>
  <si>
    <t>Frequency Score</t>
  </si>
  <si>
    <t>Severity Score</t>
  </si>
  <si>
    <t>Final Score</t>
  </si>
  <si>
    <t>Shirlyn</t>
  </si>
  <si>
    <t>David</t>
  </si>
  <si>
    <t>YT</t>
  </si>
  <si>
    <t>Ginnie</t>
  </si>
  <si>
    <t>Chris</t>
  </si>
  <si>
    <t xml:space="preserve">damn by definition this is 3 but why does this feel like a 4 </t>
  </si>
  <si>
    <t>I was bullied from Pri 1 to early P4. Used to just get punched randomly in between classes and my dumb ass little self wanting to join in with the playful kids ended up being used as practice for WWE finishers and such.
That promptly stopped once I joined the rugby team. Think I partially wasn't too traumatised - if it was in secondary school and being a little more cognitively aware, I may be more affected.</t>
  </si>
  <si>
    <t>2?</t>
  </si>
  <si>
    <t>3?</t>
  </si>
  <si>
    <t>I have seen Bryan and his group bother Ethan a few times before but today was the worst. They were behind the hall and I saw Bryan punch Ethan in the stomach and then step on his hand after he fell. Ethan was crying and holding his hand and it looked very bad. I know this happened before because once in a while I would see Ethan walking around looking scared and I could tell something had happened to him again.</t>
  </si>
  <si>
    <t>Final score</t>
  </si>
  <si>
    <t>Was constantly humiliated by my form teacher of all people (I was chosen as class rep by my peers but she was never happy with anything I did). Often called me vain for trying to tie my hair properly, said I was lazy, inconsiderate and inefficient cos I never ran to classrooms early to unlock them and as a result made everyone else wait when in truth every other class also didn’t do that. One time a student accidentally left a used piece of tissue paper on the teacher’s table (it was after an event day so the classroom was used for activities etc), she was so mad and made a huge fuss about it and refused to start class until the culprit came out to admit it. Tried to intervene and apologise on behalf of the class and she just yelled at me to shut up and continued making things difficult for everyone by holding up the class and berating us the entire time.</t>
  </si>
  <si>
    <t>Was made fun of in primary school that my mother was not my mother. Damn bullies started spreading it around. I felt stupid.</t>
  </si>
  <si>
    <t>The guys in my class were super mean, think of those paikia type. They like to pick on the non-popular ones in class and make fun of them. I was super ugly in the past, and unfortunately also very quiet and shy. Honestly this is the worst combination of traits for bullies to choose to pick on. I was really skinny, short, and face full of acne and they like to make fun of that. They would always giggle or make laughing noises whenever I walk past or when I am just minding my own business. It also doesn’t help that I was unsociable and awkward, so I was seen as an outcast. Basically they just see me as some weirdo</t>
  </si>
  <si>
    <t>Theres a classmate sitting beside to me. He would often be mean and say really mean things like i have no dad (which is false) and would continuously say that women have no rights and would continue teasing me which lead to me feeling sad. However, i tried to laugh when I hear that so they would not think i care. But today something so bad happened- my classmate lets call him w. w told me he isnt my friend and is talking to me only for entertainment, which i fully agree and understand with- it isnt like he is my friend or if that I like him as a friend either. I was alright with that. However he continued on saying about how I do not have a dad (which i do but he is always pretending i dont and teasing me for it) and when I say it isnt true he would be like- i dun care. when i wanna state anything he would always have so many nasty comments about everything. (he said alot and i dont remember all so im only stating what i remember) he also called me stupid and said my english is bad as f**k… and I said that so is his other subjects except english. And then from there it got TENSE. (context-i copy some of his work during english class. not because i dont know how to do but because it saves time. NO, im not saying copying his work is right either which i admit is wrong to copy. ) he told me how bad i am at english. and said if it werent for him i would not be able to do my worksheets and stuff. and he continued on which i cant really remember anymore and we continued disagreeing until the very end and then like when it ended (had to go to another class and pack bags) i felt so cold on the inside. I always feel this way and has felt it alot this year, i was scared and worried. But this worried me alot- he is my table partner! He is right beside me, he could just do something to me!</t>
  </si>
  <si>
    <t>I was also singled out very often in sec sch, almost to the point I cried to bed with fear and that alerted my parents.......I was shy &amp; wasn't good looking (IMO), wore specs (who look like a nerd back then) so I get picked on frequently that the bullies would take my money from my wallet during recess time so I would sometimes only drink water from water cooler or just sit somewhere that has fewer people. I wasn't close to anyone back in sec sch, only needed them to not feel looked down on others so I hadn't contacted them ever since and I don't look forward to........I had an unsupportive father (who just keeps calling me useless and be like a man stop crying &amp; a soft-hearted mother (who just ask me to sit further from the bullies and listen to my father), I grew up with very low self-esteem &amp; confidence and tend to criticize myself first when things go bad........because I also had to tuck in my shirt due to sch rules, even the girls in my school looked down on me like talking to me with hostility &amp; despise or helping the bullies to bully me too (snatching my pencil case, bag, water bottle, textbook etc.)</t>
  </si>
  <si>
    <t xml:space="preserve">It all started in P3, where for almost one whole year, I was so-called ¨pranked¨ by some of the guys in my class that I was disturbing them when it was the other way round. For example, one of them would either kick me or flick the back of my head and when I ask them to stop (loudly, might I add). They would even steal my stationary and claim that it is theirs. To this day, I have yet to regain possession of my lost stationary. I dreaded school every single day. People called me ¨autistic¨, LKY, and always try to exclude me from my other classmates. They even tried doing weird things like sticking out their hands to grope me in the toilet cubicles (i strategically managed to climb up onto the toilet bowl and when it struck again I used my full strength and stepped on his arm, never felt bad about it). Once, I was almost pushed down the stairs by another bully called Goh (nickname). </t>
  </si>
  <si>
    <t xml:space="preserve">I am a victim of bullying in school. The bullying I’m experiencing in school right now isn’t all that serious, currently it’s only name calling and social exclusion but it still hurts. It feels so pathetic for me to feel hurt by just simple words of hate coming from my peers because I lack the confidence to stand up for myself. No matter how much I want to confront these bullies, I know damn well that I’d stutter as I’m not very good at articulating my thoughts. I desperately want to seek help and put a stop to this because it has affected my daily life. I can’t put my phone down and go to sleep because I am afraid that the moment I lay down and try to fall asleep, I would start to think about the bullying and how much it hurts me. </t>
  </si>
  <si>
    <t>I am a victim of bullying in school. The bullying I’m experiencing in school right now isn’t all that serious, currently it’s only occasional name calling and social exclusion but it still hurts. It feels so pathetic for me to feel hurt by just simple words of hate coming from my peers because I lack the confidence to stand up for myself. No matter how much I want to confront these bullies, I know damn well that I’d stutter as I’m not very good at articulating my thoughts. I desperately want to seek help and put a stop to this because it has affected my daily life. I can’t put my phone down and go to sleep because I am afraid that the moment I lay down and try to fall asleep, I would start to think about the bullying and how much it hurts me.</t>
  </si>
  <si>
    <t xml:space="preserve"> </t>
  </si>
  <si>
    <t>I remember in primary 2, a group of kids took my collection of country flag erasers... and my pencil case. I walked around the class and found them playing with my erasers. They said they "found them somewhere" and that there's nothing I can do to claim they were mine, even though the erasers had my mark "M" behind each. When I confronted them in the next period (recess) outside class they denied everything and started forming a circle around me calling me names and shit. When I started to cry, guess they got bolder and tried snatching my lunch money too. When I pushed back and started throwing punches, they scattered. I really wanted my stuff back and went to look for them. When I found them, they threatened to "tell teacher" if I hit them, which I did anyway and our teacher got to know and so did the principal. My mum got called in. I told them the whole story which they still denied and asked us to check their bags/tables to prove it. We couldn't find anything on them as they had thrown away somewhere around the school.</t>
  </si>
  <si>
    <t>1</t>
  </si>
  <si>
    <t>2</t>
  </si>
  <si>
    <t>FREQ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</si>
</sst>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sz val="11"/>
      <color rgb="FF333D42"/>
      <name val="-Apple-System"/>
      <charset val="1"/>
    </font>
    <font>
      <sz val="11"/>
      <color rgb="FF2A3C42"/>
      <name val="-Apple-System"/>
      <charset val="1"/>
    </font>
    <font>
      <sz val="12"/>
      <color rgb="FF1C1C1C"/>
      <name val="Proza Libre"/>
      <family val="2"/>
      <charset val="1"/>
    </font>
    <font>
      <u/>
      <sz val="11"/>
      <color theme="10"/>
      <name val="Calibri"/>
      <family val="2"/>
      <scheme val="minor"/>
    </font>
    <font>
      <sz val="11"/>
      <color rgb="FF000000"/>
      <name val="Aptos Narrow"/>
      <family val="2"/>
    </font>
    <font>
      <sz val="11"/>
      <color rgb="FF333D42"/>
      <name val="Aptos Narrow"/>
      <family val="2"/>
    </font>
    <font>
      <b/>
      <sz val="14"/>
      <color theme="1"/>
      <name val="Calibri"/>
      <family val="2"/>
      <scheme val="minor"/>
    </font>
    <font>
      <sz val="11"/>
      <color rgb="FF000000"/>
      <name val="Aptos Narrow"/>
    </font>
    <font>
      <sz val="11"/>
      <color rgb="FF000000"/>
      <name val="Calibri"/>
      <charset val="1"/>
    </font>
    <font>
      <b/>
      <sz val="11"/>
      <color rgb="FF000000"/>
      <name val="Calibri"/>
      <scheme val="minor"/>
    </font>
    <font>
      <sz val="12"/>
      <color theme="1"/>
      <name val="Calibri Light"/>
      <scheme val="major"/>
    </font>
    <font>
      <sz val="11"/>
      <color rgb="FF000000"/>
      <name val="Calibri"/>
      <family val="2"/>
      <scheme val="minor"/>
    </font>
    <font>
      <b/>
      <sz val="14"/>
      <color rgb="FF000000"/>
      <name val="Calibri"/>
      <family val="2"/>
      <scheme val="minor"/>
    </font>
    <font>
      <u/>
      <sz val="11"/>
      <color rgb="FF000000"/>
      <name val="Calibri"/>
      <family val="2"/>
      <scheme val="minor"/>
    </font>
    <font>
      <sz val="11"/>
      <color theme="0"/>
      <name val="Calibri"/>
      <family val="2"/>
      <scheme val="minor"/>
    </font>
  </fonts>
  <fills count="8">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rgb="FFFFFF00"/>
        <bgColor indexed="64"/>
      </patternFill>
    </fill>
    <fill>
      <patternFill patternType="solid">
        <fgColor theme="8" tint="0.39997558519241921"/>
        <bgColor indexed="64"/>
      </patternFill>
    </fill>
    <fill>
      <patternFill patternType="solid">
        <fgColor theme="2"/>
        <bgColor indexed="64"/>
      </patternFill>
    </fill>
    <fill>
      <patternFill patternType="solid">
        <fgColor theme="1"/>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s>
  <cellStyleXfs count="2">
    <xf numFmtId="0" fontId="0" fillId="0" borderId="0"/>
    <xf numFmtId="0" fontId="4" fillId="0" borderId="0" applyNumberFormat="0" applyFill="0" applyBorder="0" applyAlignment="0" applyProtection="0"/>
  </cellStyleXfs>
  <cellXfs count="105">
    <xf numFmtId="0" fontId="0" fillId="0" borderId="0" xfId="0"/>
    <xf numFmtId="0" fontId="0" fillId="2" borderId="0" xfId="0" applyFill="1"/>
    <xf numFmtId="0" fontId="0" fillId="0" borderId="1" xfId="0" applyBorder="1"/>
    <xf numFmtId="0" fontId="0" fillId="0" borderId="1" xfId="0" applyBorder="1" applyAlignment="1">
      <alignment wrapText="1"/>
    </xf>
    <xf numFmtId="0" fontId="0" fillId="3" borderId="1" xfId="0" applyFill="1" applyBorder="1" applyAlignment="1">
      <alignment wrapText="1"/>
    </xf>
    <xf numFmtId="0" fontId="1" fillId="3" borderId="1" xfId="0" applyFont="1" applyFill="1" applyBorder="1" applyAlignment="1">
      <alignment wrapText="1"/>
    </xf>
    <xf numFmtId="0" fontId="0" fillId="3" borderId="1" xfId="0" applyFill="1" applyBorder="1"/>
    <xf numFmtId="0" fontId="2" fillId="3" borderId="1" xfId="0" applyFont="1" applyFill="1" applyBorder="1" applyAlignment="1">
      <alignment wrapText="1"/>
    </xf>
    <xf numFmtId="0" fontId="3" fillId="3" borderId="1" xfId="0" applyFont="1" applyFill="1" applyBorder="1" applyAlignment="1">
      <alignment wrapText="1"/>
    </xf>
    <xf numFmtId="0" fontId="4" fillId="3" borderId="1" xfId="1" applyFill="1" applyBorder="1" applyAlignment="1">
      <alignment wrapText="1"/>
    </xf>
    <xf numFmtId="0" fontId="6" fillId="3" borderId="1" xfId="0" applyFont="1" applyFill="1" applyBorder="1" applyAlignment="1">
      <alignment wrapText="1"/>
    </xf>
    <xf numFmtId="0" fontId="5" fillId="3" borderId="1" xfId="0" applyFont="1" applyFill="1" applyBorder="1"/>
    <xf numFmtId="0" fontId="7" fillId="2" borderId="1" xfId="0" applyFont="1" applyFill="1" applyBorder="1" applyAlignment="1">
      <alignment horizontal="center"/>
    </xf>
    <xf numFmtId="0" fontId="7" fillId="2" borderId="1" xfId="0" applyFont="1" applyFill="1" applyBorder="1" applyAlignment="1">
      <alignment horizontal="center" wrapText="1"/>
    </xf>
    <xf numFmtId="0" fontId="7" fillId="2" borderId="1" xfId="0" applyFont="1" applyFill="1" applyBorder="1" applyAlignment="1">
      <alignment horizontal="center" vertical="top" wrapText="1"/>
    </xf>
    <xf numFmtId="0" fontId="1" fillId="3" borderId="1" xfId="0" applyFont="1" applyFill="1" applyBorder="1" applyAlignment="1">
      <alignment vertical="top"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0" fillId="3" borderId="1" xfId="0" applyFill="1" applyBorder="1" applyAlignment="1">
      <alignment vertical="top" wrapText="1"/>
    </xf>
    <xf numFmtId="0" fontId="6" fillId="3" borderId="1" xfId="0" applyFont="1" applyFill="1" applyBorder="1" applyAlignment="1">
      <alignment vertical="top" wrapText="1"/>
    </xf>
    <xf numFmtId="0" fontId="5" fillId="3" borderId="1" xfId="0" applyFont="1" applyFill="1" applyBorder="1" applyAlignment="1">
      <alignment vertical="top" wrapText="1"/>
    </xf>
    <xf numFmtId="0" fontId="0" fillId="0" borderId="1" xfId="0" applyBorder="1" applyAlignment="1">
      <alignment vertical="top" wrapText="1"/>
    </xf>
    <xf numFmtId="0" fontId="1" fillId="0" borderId="0" xfId="0" applyFont="1"/>
    <xf numFmtId="0" fontId="0" fillId="0" borderId="0" xfId="0" applyAlignment="1">
      <alignment wrapText="1"/>
    </xf>
    <xf numFmtId="0" fontId="0" fillId="0" borderId="1" xfId="0" applyBorder="1" applyAlignment="1">
      <alignment horizontal="center" vertical="center"/>
    </xf>
    <xf numFmtId="0" fontId="8" fillId="3" borderId="1" xfId="0" applyFont="1" applyFill="1" applyBorder="1" applyAlignment="1">
      <alignment vertical="top" wrapText="1"/>
    </xf>
    <xf numFmtId="0" fontId="8" fillId="3" borderId="1" xfId="0" applyFont="1" applyFill="1" applyBorder="1"/>
    <xf numFmtId="0" fontId="1" fillId="0" borderId="1" xfId="0" applyFont="1" applyBorder="1" applyAlignment="1">
      <alignment wrapText="1"/>
    </xf>
    <xf numFmtId="0" fontId="7" fillId="2" borderId="1" xfId="0" applyFont="1" applyFill="1" applyBorder="1" applyAlignment="1">
      <alignment horizontal="center" vertical="center" wrapText="1"/>
    </xf>
    <xf numFmtId="0" fontId="0" fillId="0" borderId="0" xfId="0" applyAlignment="1">
      <alignment vertical="center"/>
    </xf>
    <xf numFmtId="0" fontId="0" fillId="0" borderId="0" xfId="0" applyAlignment="1">
      <alignment vertical="center" wrapText="1"/>
    </xf>
    <xf numFmtId="0" fontId="4" fillId="0" borderId="1" xfId="1" applyBorder="1" applyAlignment="1">
      <alignment wrapText="1"/>
    </xf>
    <xf numFmtId="0" fontId="9" fillId="0" borderId="0" xfId="0" applyFont="1"/>
    <xf numFmtId="0" fontId="0" fillId="0" borderId="0" xfId="0" applyAlignment="1">
      <alignment horizontal="center" vertical="center"/>
    </xf>
    <xf numFmtId="0" fontId="0" fillId="0" borderId="2" xfId="0" applyBorder="1"/>
    <xf numFmtId="0" fontId="0" fillId="0" borderId="2" xfId="0" applyBorder="1" applyAlignment="1">
      <alignment horizontal="center" vertical="center"/>
    </xf>
    <xf numFmtId="0" fontId="6" fillId="3" borderId="2" xfId="0" applyFont="1" applyFill="1" applyBorder="1" applyAlignment="1">
      <alignment vertical="top" wrapText="1"/>
    </xf>
    <xf numFmtId="0" fontId="0" fillId="0" borderId="1" xfId="0" applyBorder="1" applyAlignment="1">
      <alignment vertical="center" wrapText="1"/>
    </xf>
    <xf numFmtId="49" fontId="0" fillId="0" borderId="1" xfId="0" applyNumberFormat="1" applyBorder="1"/>
    <xf numFmtId="0" fontId="11" fillId="0" borderId="0" xfId="0" applyFont="1" applyAlignment="1">
      <alignment wrapText="1"/>
    </xf>
    <xf numFmtId="0" fontId="0" fillId="0" borderId="5" xfId="0" applyBorder="1"/>
    <xf numFmtId="0" fontId="12" fillId="0" borderId="8" xfId="1" applyFont="1" applyBorder="1" applyAlignment="1">
      <alignment wrapText="1"/>
    </xf>
    <xf numFmtId="0" fontId="0" fillId="4" borderId="1" xfId="0" applyFill="1" applyBorder="1" applyAlignment="1">
      <alignment wrapText="1"/>
    </xf>
    <xf numFmtId="0" fontId="13" fillId="2" borderId="8" xfId="0" applyFont="1" applyFill="1" applyBorder="1" applyAlignment="1">
      <alignment horizontal="center" wrapText="1"/>
    </xf>
    <xf numFmtId="0" fontId="12" fillId="0" borderId="8" xfId="0" applyFont="1" applyBorder="1"/>
    <xf numFmtId="0" fontId="14" fillId="0" borderId="8" xfId="1" applyFont="1" applyBorder="1"/>
    <xf numFmtId="0" fontId="12" fillId="0" borderId="0" xfId="0" applyFont="1"/>
    <xf numFmtId="0" fontId="8" fillId="4" borderId="1" xfId="0" applyFont="1" applyFill="1" applyBorder="1" applyAlignment="1">
      <alignment vertical="top" wrapText="1"/>
    </xf>
    <xf numFmtId="0" fontId="9" fillId="0" borderId="0" xfId="0" applyFont="1" applyAlignment="1">
      <alignment wrapText="1"/>
    </xf>
    <xf numFmtId="0" fontId="0" fillId="0" borderId="0" xfId="0" pivotButton="1"/>
    <xf numFmtId="0" fontId="0" fillId="0" borderId="1" xfId="0" applyBorder="1" applyAlignment="1">
      <alignment horizontal="center" vertical="center" wrapText="1"/>
    </xf>
    <xf numFmtId="0" fontId="0" fillId="0" borderId="6" xfId="0" applyBorder="1"/>
    <xf numFmtId="0" fontId="0" fillId="0" borderId="6" xfId="0" applyBorder="1" applyAlignment="1">
      <alignment horizontal="center" vertical="center"/>
    </xf>
    <xf numFmtId="0" fontId="1" fillId="3" borderId="6" xfId="0" applyFont="1" applyFill="1" applyBorder="1" applyAlignment="1">
      <alignment vertical="top" wrapText="1"/>
    </xf>
    <xf numFmtId="0" fontId="1" fillId="0" borderId="6" xfId="0" applyFont="1" applyBorder="1" applyAlignment="1">
      <alignment wrapText="1"/>
    </xf>
    <xf numFmtId="0" fontId="0" fillId="6" borderId="3" xfId="0" applyFill="1" applyBorder="1"/>
    <xf numFmtId="0" fontId="1" fillId="6" borderId="1" xfId="0" applyFont="1" applyFill="1" applyBorder="1" applyAlignment="1">
      <alignment vertical="top" wrapText="1"/>
    </xf>
    <xf numFmtId="0" fontId="12" fillId="6" borderId="0" xfId="0" applyFont="1" applyFill="1"/>
    <xf numFmtId="0" fontId="0" fillId="6" borderId="0" xfId="0" applyFill="1"/>
    <xf numFmtId="0" fontId="1" fillId="6" borderId="0" xfId="0" applyFont="1" applyFill="1" applyAlignment="1">
      <alignment vertical="top" wrapText="1"/>
    </xf>
    <xf numFmtId="0" fontId="0" fillId="4" borderId="0" xfId="0" applyFill="1"/>
    <xf numFmtId="0" fontId="0" fillId="0" borderId="0" xfId="0" applyAlignment="1">
      <alignment horizontal="left" vertical="top" wrapText="1"/>
    </xf>
    <xf numFmtId="0" fontId="0" fillId="0" borderId="0" xfId="0" applyAlignment="1">
      <alignment vertical="top" wrapText="1"/>
    </xf>
    <xf numFmtId="0" fontId="0" fillId="0" borderId="0" xfId="0" applyAlignment="1">
      <alignment horizontal="center" vertical="center" wrapText="1"/>
    </xf>
    <xf numFmtId="0" fontId="5" fillId="4" borderId="1" xfId="0" applyFont="1" applyFill="1" applyBorder="1" applyAlignment="1">
      <alignment vertical="top" wrapText="1"/>
    </xf>
    <xf numFmtId="0" fontId="9" fillId="0" borderId="0" xfId="0" applyFont="1" applyAlignment="1">
      <alignment vertical="top" wrapText="1"/>
    </xf>
    <xf numFmtId="49" fontId="0" fillId="0" borderId="0" xfId="0" applyNumberFormat="1"/>
    <xf numFmtId="0" fontId="15" fillId="7" borderId="0" xfId="0" applyFont="1" applyFill="1" applyAlignment="1">
      <alignment vertical="center"/>
    </xf>
    <xf numFmtId="0" fontId="0" fillId="5" borderId="7" xfId="0" applyFill="1" applyBorder="1" applyAlignment="1">
      <alignment horizontal="center" wrapText="1"/>
    </xf>
    <xf numFmtId="0" fontId="7" fillId="2" borderId="1" xfId="0" applyFont="1" applyFill="1" applyBorder="1" applyAlignment="1">
      <alignment horizontal="center" wrapText="1"/>
    </xf>
    <xf numFmtId="0" fontId="7" fillId="2" borderId="1" xfId="0" applyFont="1" applyFill="1" applyBorder="1" applyAlignment="1">
      <alignment horizontal="center" vertical="top" wrapText="1"/>
    </xf>
    <xf numFmtId="0" fontId="0" fillId="5" borderId="7" xfId="0" applyFill="1" applyBorder="1" applyAlignment="1">
      <alignment horizontal="center"/>
    </xf>
    <xf numFmtId="0" fontId="7" fillId="2" borderId="4" xfId="0" applyFont="1" applyFill="1" applyBorder="1" applyAlignment="1">
      <alignment horizontal="center" wrapText="1"/>
    </xf>
    <xf numFmtId="0" fontId="7" fillId="2" borderId="0" xfId="0" applyFont="1" applyFill="1" applyAlignment="1">
      <alignment horizontal="center" vertical="center"/>
    </xf>
    <xf numFmtId="0" fontId="7" fillId="2" borderId="9" xfId="0" applyFont="1" applyFill="1" applyBorder="1" applyAlignment="1">
      <alignment horizontal="center" vertical="center"/>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0" fillId="2" borderId="1" xfId="0" applyFill="1" applyBorder="1" applyAlignment="1">
      <alignment horizontal="center" vertical="center"/>
    </xf>
    <xf numFmtId="0" fontId="7" fillId="2" borderId="7" xfId="0" applyFont="1" applyFill="1" applyBorder="1" applyAlignment="1">
      <alignment horizontal="center" vertical="center"/>
    </xf>
    <xf numFmtId="0" fontId="7" fillId="2" borderId="10" xfId="0" applyFont="1" applyFill="1" applyBorder="1" applyAlignment="1">
      <alignment horizontal="center" vertical="center"/>
    </xf>
    <xf numFmtId="0" fontId="0" fillId="5" borderId="11" xfId="0" applyFill="1" applyBorder="1" applyAlignment="1">
      <alignment horizontal="center" vertical="center"/>
    </xf>
    <xf numFmtId="0" fontId="0" fillId="5" borderId="2" xfId="0" applyFill="1" applyBorder="1" applyAlignment="1">
      <alignment horizontal="center" vertical="center"/>
    </xf>
    <xf numFmtId="0" fontId="7" fillId="2" borderId="1" xfId="0" applyFont="1" applyFill="1" applyBorder="1" applyAlignment="1">
      <alignment horizontal="center"/>
    </xf>
    <xf numFmtId="0" fontId="1" fillId="3" borderId="1" xfId="0" applyFont="1" applyFill="1" applyBorder="1" applyAlignment="1">
      <alignment horizontal="center" vertical="top" wrapText="1"/>
    </xf>
    <xf numFmtId="0" fontId="0" fillId="0" borderId="1" xfId="0" applyBorder="1" applyAlignment="1">
      <alignment horizontal="center" vertical="center"/>
    </xf>
    <xf numFmtId="0" fontId="0" fillId="0" borderId="1" xfId="0" applyBorder="1" applyAlignment="1">
      <alignment horizontal="center"/>
    </xf>
    <xf numFmtId="0" fontId="2" fillId="3" borderId="1" xfId="0" applyFont="1" applyFill="1" applyBorder="1" applyAlignment="1">
      <alignment horizontal="center" vertical="top" wrapText="1"/>
    </xf>
    <xf numFmtId="0" fontId="3" fillId="3" borderId="1" xfId="0" applyFont="1" applyFill="1" applyBorder="1" applyAlignment="1">
      <alignment horizontal="center" vertical="top" wrapText="1"/>
    </xf>
    <xf numFmtId="0" fontId="0" fillId="5" borderId="7" xfId="0" applyFill="1" applyBorder="1" applyAlignment="1">
      <alignment horizontal="center" vertical="center"/>
    </xf>
    <xf numFmtId="0" fontId="0" fillId="0" borderId="6" xfId="0" applyBorder="1" applyAlignment="1">
      <alignment horizontal="center" vertical="center" wrapText="1"/>
    </xf>
    <xf numFmtId="0" fontId="0" fillId="0" borderId="2" xfId="0" applyBorder="1" applyAlignment="1">
      <alignment horizontal="center" vertical="center" wrapText="1"/>
    </xf>
    <xf numFmtId="0" fontId="7" fillId="2" borderId="6"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4" xfId="0" applyFont="1" applyFill="1" applyBorder="1" applyAlignment="1">
      <alignment horizontal="center" vertical="center"/>
    </xf>
    <xf numFmtId="0" fontId="7" fillId="2" borderId="5" xfId="0" applyFont="1" applyFill="1" applyBorder="1" applyAlignment="1">
      <alignment horizontal="center" vertical="center"/>
    </xf>
    <xf numFmtId="0" fontId="7" fillId="2" borderId="3" xfId="0" applyFont="1" applyFill="1" applyBorder="1" applyAlignment="1">
      <alignment horizontal="center" vertical="center"/>
    </xf>
    <xf numFmtId="0" fontId="0" fillId="0" borderId="6" xfId="0" applyBorder="1" applyAlignment="1">
      <alignment horizontal="center"/>
    </xf>
    <xf numFmtId="0" fontId="0" fillId="0" borderId="2" xfId="0" applyBorder="1" applyAlignment="1">
      <alignment horizontal="center"/>
    </xf>
    <xf numFmtId="0" fontId="0" fillId="3" borderId="6" xfId="0" applyFill="1" applyBorder="1" applyAlignment="1">
      <alignment horizontal="left" vertical="top" wrapText="1"/>
    </xf>
    <xf numFmtId="0" fontId="0" fillId="3" borderId="2" xfId="0" applyFill="1" applyBorder="1" applyAlignment="1">
      <alignment horizontal="left" vertical="top" wrapText="1"/>
    </xf>
    <xf numFmtId="0" fontId="0" fillId="0" borderId="0" xfId="0"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D6544A47-1BFF-4ADE-9B15-B2B1772F0C27}">
    <nsvFilter filterId="{6C7BFFC9-0AA8-4108-9A9F-1E49754EB3CA}" ref="A1:C441" tableId="0">
      <columnFilter colId="2">
        <filter colId="2">
          <x:filters>
            <x:filter val="2"/>
          </x:filters>
        </filter>
      </columnFilter>
    </nsvFilter>
  </namedSheetView>
</namedSheetViews>
</file>

<file path=xl/persons/person.xml><?xml version="1.0" encoding="utf-8"?>
<personList xmlns="http://schemas.microsoft.com/office/spreadsheetml/2018/threadedcomments" xmlns:x="http://schemas.openxmlformats.org/spreadsheetml/2006/main">
  <person displayName="Lim Li Ling, Shirlyn" id="{39C036B2-4A39-489A-BFD3-5F5233F9EC84}" userId="S::e0970006@u.nus.edu::e8e4d344-5f85-4beb-a338-948b9cb7ed41"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13.48656041667" createdVersion="8" refreshedVersion="8" minRefreshableVersion="3" recordCount="448" xr:uid="{DD57180D-4A6E-444D-B920-2F91BCFFFA56}">
  <cacheSource type="worksheet">
    <worksheetSource ref="A1:C449" sheet="model_data"/>
  </cacheSource>
  <cacheFields count="3">
    <cacheField name="frequency_score" numFmtId="0">
      <sharedItems containsString="0" containsBlank="1" containsNumber="1" containsInteger="1" minValue="1" maxValue="4" count="5">
        <m/>
        <n v="4"/>
        <n v="3"/>
        <n v="1"/>
        <n v="2"/>
      </sharedItems>
    </cacheField>
    <cacheField name="bullying_report" numFmtId="0">
      <sharedItems containsBlank="1" longText="1"/>
    </cacheField>
    <cacheField name="severity_score" numFmtId="0">
      <sharedItems containsString="0" containsBlank="1" containsNumber="1" containsInteger="1" minValue="1" maxValue="4" count="5">
        <m/>
        <n v="1"/>
        <n v="4"/>
        <n v="3"/>
        <n v="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8">
  <r>
    <x v="0"/>
    <m/>
    <x v="0"/>
  </r>
  <r>
    <x v="1"/>
    <s v="During morning assembly, we always have to sit in lines with the girls. Every time I sit down, those popular girls would start whispering things like “Eeeeewwwww, I don’t want to sit next to that cancerous girl” and “ewwwwww Sarah” One of them would say, “Gwen, you sit next to her instead, not me.” They made it super obvious they didn’t want to be near me. They will just stand there in a group, acting awkward and avoiding me like I had some disease. Only after another girl came and sat beside me, then the whole clique would finally sit down."/>
    <x v="1"/>
  </r>
  <r>
    <x v="1"/>
    <s v="During morning assembly, I always see this happen when we sit in lines. There is this group of popular girls who will refuse to sit next to her. They keep whispering things like “Eeeeewwwww, I don’t want to sit next to that cancerous girl” and calling her name in a disgusted way. One of them even told another girl, “Gwen, you sit next to her instead, not me.” They would just stand there together, making it very obvious they didn’t want to be near her, like avoiding her on purpose. Only when another girl sat beside her, then the rest of them would finally sit down."/>
    <x v="1"/>
  </r>
  <r>
    <x v="1"/>
    <s v="I am constantly being bullied by many people in my class. We don’t use WhatsApp, only Facebook, and they created a fake profile of me and even made groups to plan how to attack me. I know this because I overheard them talking about it. During recess, they will take my money, so I end up having nothing to eat. When I go to the toilet and come back, all the things in my pencil case are thrown onto the floor. Sometimes they also touch me inappropriately and kick my balls. I still haven’t told my parents or anyone else about what I am going through."/>
    <x v="2"/>
  </r>
  <r>
    <x v="1"/>
    <s v="My classmate keeps getting bullied by a group of students. They have created a fake Facebook profile of him and even made groups to plan how to attack him. During recess, they take his money, so he has nothing to eat. When he goes to the toilet, they mess up his things and throw everything from his pencil case onto the floor. There are also times when they touch him inappropriately and kick him. As far as I know, he hasn’t told his parents or anyone else about it."/>
    <x v="2"/>
  </r>
  <r>
    <x v="2"/>
    <s v="I know that someone from my class keeps sending me “anonymous” messages on Tellonym. At first, I try to ignore it, but it just keeps coming. They keep calling me a “slut,” “bitch,” and “idiot.” Now they’re even sending me messages telling me to kill myself. I thought it’s just online at first, but then it started happening in real life too. The other day, someone threw something at my face and i started bleeding.  I feel honestly terrified to even check my phone now."/>
    <x v="2"/>
  </r>
  <r>
    <x v="2"/>
    <s v="someone has been sending jane anonymous messages on Tellonym. The messages are very mean, calling her names like “slut,” “bitch,” and even telling her to kill herself. Recently, it got worse. She looks really scared all the time, especially when using her phone. Then one day, someone threw something at her face and she started bleeding. I felt quite shocked seeing that happen."/>
    <x v="2"/>
  </r>
  <r>
    <x v="2"/>
    <s v="jane has been getting bullied online by someone from our class through Tellonym. The messages are very harsh and insulting. After that, things started happening in real life too. She seems very afraid now, and there was one incident where something was thrown at her face and she started bleeding. It made me feel uncomfortable seeing how serious it became"/>
    <x v="2"/>
  </r>
  <r>
    <x v="2"/>
    <s v="School doesn’t feel safe for me anymore. Today, one of the bullies hit me in the head and then tried to kick me between my legs. After that, another guy walks past me and says “dyslexic f**k!” three times in a row. I feel like a target all the time. It’s not just the physical stuff, it’s also the constant verbal attacks about things I can’t even change. I don’t even know how I’m supposed to focus in class when I’m always worried about getting hit or harassed."/>
    <x v="3"/>
  </r>
  <r>
    <x v="2"/>
    <s v="Today, I saw someone hit Alex on the head and try to kick him. Then another guy insulted him by calling him “dyslexic f**k!” repeatedly. It seems like he’s constantly being bullied, and I can tell it’s affecting him a lot."/>
    <x v="3"/>
  </r>
  <r>
    <x v="1"/>
    <s v="I haven’t been sleeping properly for weeks. In school, I stop eating in the canteen because I can’t handle being in the same place as Jayden and his gang. I also stop talking to my friends because I just can’t deal with anything anymore. With the physical bullying and all the name-calling, I don’t feel safe anywhere. I feel like I’m slowly disappearing. I used to have a normal life, but now I’m just trying to get through each school day without having a panic attack."/>
    <x v="3"/>
  </r>
  <r>
    <x v="1"/>
    <s v="I think Shawn is having a lot of trouble lately. He doesn’t eat in the canteen anymore and avoids being around others. He also stopped talking to his friends. From what I can see, it’s because of the bullying he’s facing. He looks constantly anxious, like he’s just trying to survive each school day. It really seems like he doesn’t feel safe anywhere in school anymore."/>
    <x v="4"/>
  </r>
  <r>
    <x v="1"/>
    <s v="For almost six months now, I’ve been getting bullied by three boys in my class. They keep insulting me, mocking me, shoving me, damaging my stationery, and even erasing my homework. They also keep using racial slurs and saying really hurtful things like “nigger”, “shut up”, “f*ck you”, “dumb ass”, “shit”, “qi bai”, “stupid”, “bitch”, and even “shut up at your family’s grave.” On 24 July, during class, I just reminded someone to keep quiet, and after that, two of them physically assaulted me."/>
    <x v="3"/>
  </r>
  <r>
    <x v="1"/>
    <s v="Emily keeps getting bullied by three boys for months. They keep insulting her, mocking her, shoving her, spoiling her stationery, and even erasing her homework. They also use a lot of racial slurs and harsh insults like “nigger”, “shut up”, “f*ck you”, “dumb ass”, “qi bai”, and other vulgarities. She told someone to be quiet during class the other day, and after that, two classmates suddenly physically assaulted her."/>
    <x v="3"/>
  </r>
  <r>
    <x v="1"/>
    <s v="Everyone treats me badly because I have special needs. My classmates ostracise me and say mean things straight to my face. Some of the boys even push me physically. I feel left out and targeted almost every day in school."/>
    <x v="4"/>
  </r>
  <r>
    <x v="1"/>
    <s v="I see how badly Rachel is being treated everyday. A lot of my classmates ostracise her and say mean things directly to her face. Some of the boys even push her around physically. It’s quite obvious she’s being targeted and excluded by everyone."/>
    <x v="4"/>
  </r>
  <r>
    <x v="2"/>
    <s v="Nicole keeps threatening to physically assault us, touch us, and even harm our family members. She even described in detail how she wants to sexually assault us. One time, she chased one of us outside of school, and she ended up hysterical and crying because she’s so scared something bad is going to happen. She also spread baseless rumours about us and turned our friends against us. She even got her boyfriend and his group of friends to come after us, and we ended up suffering for weeks."/>
    <x v="3"/>
  </r>
  <r>
    <x v="2"/>
    <s v="I see a group of girls being targeted by someone who keeps threatening to physically harm them and even their family members. She also says disturbing things about wanting to sexually assault them. At one point, she chases one of the girls outside of school, and the girl is crying and clearly terrified. She also spreads rumours that turn their friends against them. After that, she even gets her boyfriend and his group of friends involved, and the girls keep getting harassed by them for weeks."/>
    <x v="3"/>
  </r>
  <r>
    <x v="2"/>
    <s v="Someone spread a rumour about me, and suddenly everyone “unfriends” me. People are scared that if they talk to me, they’ll become the next target, so nobody even comes near me. I feel so depressed and I hate school now. I keep telling my family I’m not feeling well because I don’t want to go to school."/>
    <x v="1"/>
  </r>
  <r>
    <x v="2"/>
    <s v="Ben is getting isolated because of a rumour someone spread about him. After that, everyone avoids him, and nobody dares to talk to him because they’re scared of becoming the next target. I can tell he’s really affected because he looks very down and seems to hate coming to school."/>
    <x v="1"/>
  </r>
  <r>
    <x v="2"/>
    <s v="People in school keep fat-shaming me because I’m overweight. They avoid me and post things about me on Facebook, calling me fat and other hurtful names. It affects me so much that I start starving myself on purpose or purging after eating. I'm also diagnosed with bulimia now."/>
    <x v="1"/>
  </r>
  <r>
    <x v="2"/>
    <s v="I see Betty getting fat-shamed in school. People avoid her because of her weight, and some even post things about her on Facebook calling her fat. Over time, I notice she starts behaving differently, like something is really wrong. Later on, I found out that she has been starving herself or purging after eating."/>
    <x v="1"/>
  </r>
  <r>
    <x v="1"/>
    <s v="Everyone knows that Brenda is a bully. She targets different people in different ways. She fat shames the bigger girls, physically bullies the quieter ones, and for me, she always takes my homework to copy. One day I couldn't take it anymore, so I photocopied my worksheet and purposely wrote all the answers wrongly, like super nonsense, then passed it to her to copy. She ends up getting the whole worksheet wrong. During recess, she slapped me and called me a bitch. "/>
    <x v="3"/>
  </r>
  <r>
    <x v="1"/>
    <s v="Brenda always fat shames some girls, pushes the quieter ones, and I see her always taking Jia Hui's homework to copy. During recess one day, I saw Brenda slap Jia Hui and called her a bitch."/>
    <x v="3"/>
  </r>
  <r>
    <x v="3"/>
    <s v="I saw Brenda slap Jia Hui and called her a bitch the other day during recess."/>
    <x v="3"/>
  </r>
  <r>
    <x v="2"/>
    <s v="people in my table group keep tearing up my textbooks. I think it's because I'm the only non Chinese there. Maybe it is also because of my weight and I have a strong foreign accent, so they keep targeting me. I just sit there and watch my things get destroyed, honestly damn sian and helpless."/>
    <x v="4"/>
  </r>
  <r>
    <x v="2"/>
    <s v="Peter keeps getting bullied by his own table group. They literally tear his textbooks in front of him and I heard them making fun of him because of his accent"/>
    <x v="4"/>
  </r>
  <r>
    <x v="1"/>
    <s v="Amos and his gang always leave horrible notes in our bags, telling us to go die and all that. They also vandalise the class photo at the back of the classroom, like using pins to poke at our faces. On top of that, they keep calling us all sorts of names. It’s just constant and damn tiring to deal with."/>
    <x v="4"/>
  </r>
  <r>
    <x v="1"/>
    <s v="I noticed that the class photo at the back keeps being vandalised by Amos and some other guys, where some faces are poked with pins. On top of that, Timonthy and his friends keep getting called all kinds of names by them. It’s quite obvious they’re being targeted as a group."/>
    <x v="4"/>
  </r>
  <r>
    <x v="1"/>
    <s v="Some people purposely step on my worksheets before I even get them back. Others will take my pencil case, unzip it, and just let all my stationery drop onto the floor. My correction tapes always break because of this since the plastic casing is super fragile. Sometimes I have to replace it every week when it gets really bad"/>
    <x v="4"/>
  </r>
  <r>
    <x v="1"/>
    <s v="They step on his worksheets and mess them up before giving back. Sometimes they take Ethan's pencil case and just open it so everything drops out. His correction tape always spoil because of this, like every week need new one. It may look small but it happens quite often."/>
    <x v="4"/>
  </r>
  <r>
    <x v="2"/>
    <s v="People mostly tease me for being fat and slow. One day, I got into a fight with a guy on the bus, and things escalated so badly that I ended up choking him. I know it was extreme, but I just couldn’t take all the teasing anymore."/>
    <x v="3"/>
  </r>
  <r>
    <x v="2"/>
    <s v="I saw this guy get into a fight on the bus with another student. The bullying had been about him being fat and slow, and it escalated until he actually choked the other guy. It was scary to see, and it looked like all the teasing had really pushed him over the edge."/>
    <x v="3"/>
  </r>
  <r>
    <x v="1"/>
    <s v="I started getting bullied really badly because a sec 3 senior liked me and we talked sometimes. I know that Hannah and Amelia are obsessed with him, and because of this they bullied me hardcore in school and online. They would call me names, write nasty stuff about me on Facebook, scream my name whenever they saw me in school, and even push me randomly. It was constant, and I didn’t feel safe anywhere."/>
    <x v="4"/>
  </r>
  <r>
    <x v="1"/>
    <s v="Hannah and Amelia keep calling Chloe names, post nasty stuff about her online, scream her name in school, and even push her randomly. It’s pretty obvious they target her everywhere, both in school and online."/>
    <x v="4"/>
  </r>
  <r>
    <x v="1"/>
    <s v="Chloe keeps getting called names by Hannah and Amelia, and I heard it’s because of a sec 3 senior she talks to, and the group of girls who like him are really obsessed. They also post mean things about her online."/>
    <x v="1"/>
  </r>
  <r>
    <x v="3"/>
    <s v="While I was queuing for food, I tapped Lucas on the shoulder to say hi. Next thing I know, he pins me down and punches me in the body. I didn’t expect it at all, and I felt really shocked and hurt."/>
    <x v="3"/>
  </r>
  <r>
    <x v="3"/>
    <s v="I saw Lucas pin someone down and punch him while he was just in the food queue. Apparently the kid tapped him on the shoulder to say hi, and the prefect just attacked him."/>
    <x v="3"/>
  </r>
  <r>
    <x v="1"/>
    <s v="Sam and his friends keep making nasty remarks at me. They also kicked me a few times, and dont want to sit near me. I honestly hated being at school that day when an actual fight broke out"/>
    <x v="3"/>
  </r>
  <r>
    <x v="1"/>
    <s v="The other boys keep making fun of Matthew. They even kicked him, and dont want to sit near him during the teacher's day performance."/>
    <x v="3"/>
  </r>
  <r>
    <x v="3"/>
    <s v="Evan peed on my shoes for fun when we were peeing side by side. I was so upset that I cried."/>
    <x v="1"/>
  </r>
  <r>
    <x v="2"/>
    <s v="Because I’m quiet in class, one of the bullies told everyone else not to talk to me. I think it’s because they think I’m trying to be a goody two shoes for the teacher. It made me feel really left out and isolated."/>
    <x v="1"/>
  </r>
  <r>
    <x v="2"/>
    <s v="There’s this quiet kid in class, and one of the bullies told others to avoid him because they think he’s trying to act like a goody two shoes. I feel really bad for him"/>
    <x v="1"/>
  </r>
  <r>
    <x v="1"/>
    <s v="I am super timid and introverted, the kind that just sits quietly and hopes nobody notices them.  There's this one guy in my class who keeps targeting me for no reason at all. He would hurl vulgarities at me out of nowhere, I didn't even do anything to him. Every time the teacher returned our assignments or books, he would just throw mine at me instead of passing it nicely like everyone else. So embarrassing sia. And the worst part was some of the other classmates would laugh along and tease me also. Wah, kick me when I'm already down sia. I never told my parents anything. At that point I almost wanted to just quit school altogether as I felt so trapped."/>
    <x v="4"/>
  </r>
  <r>
    <x v="1"/>
    <s v="There's this quiet guy called Jon in my class who keeps to himself and never really talked to anyone, quite sad ah. This other guy who kept picking on him for no apparent reason. He would randomly shout vulgarities at him, whole class could hear somemore. Then whenever teacher passed back our work, that bully would legit throw the books and assignments at him instead of just handing it over. The saddest part was some of my classmates actually laughed and joined in the teasing. I remember feeling super uncomfortable but I also didn't say anything. I didn't know until much later that Jon was actually thinking of quitting school because of all that."/>
    <x v="4"/>
  </r>
  <r>
    <x v="1"/>
    <s v="I don't even know where to start. The bullying I went through was so bad and I feel like people don't take it seriously enough even now._x000a_I was the type that bullies look for lah. Quiet, very small sized, like short and thin with a small bone structure. I was also very guai and I came from a single parent home where my mum honestly could not care less about what was happening to me so I had zero backup from anywhere._x000a_There were two main bullies, Bryan and Mei Ling, and they had their whole group of lackeys who just followed along. My entire class of 40 people acted like I was straight up invisible. Nobody acknowledged the bullying, nobody said anything, nobody helped. It was like I did not exist to them._x000a_Every single day they called me names and verbally abused me. They shot rubber bands at me in class. They defaced my desk, drew on it, scratched it. And that was just the everyday stuff. On top of that they would stuff stinkbombs into my bag, use markers to draw all over my school uniform, and pull my ponytail. All of this, every day._x000a_I found out from an ex classmate, one who actually had a part in how everything started by the way, that it was because the Mei Ling's crush was interested in me. That was it. That was the whole reason. And Bryan just went along with everything because he liked her. I got tormented every single day because of some stupid one sided drama I was not even part of. So messed up lah."/>
    <x v="3"/>
  </r>
  <r>
    <x v="1"/>
    <s v="I was in the same class as her and honestly looking back these few months I am not proud of how I acted. Or rather how I did not act._x000a_She was this really quiet girl, very small sized, like genuinely tiny. Always obedient, never caused trouble. But she became the target of two bullies, Bryan and Mei Ling, and their whole clique. And somehow the entire class of 40 of us just went along with it. We treated her like she was invisible, like if we pretended hard enough the bullying was not happening. Every day they called her names and said horrible things to her. They shot rubber bands at her during class. Her desk was defaced almost daily. And every now and then they would do extra stuff like put stinkbombs in her bag, draw on her school uniform with markers, or yank her ponytail._x000a_I did not say anything. None of us did. She had nobody, not even her parent at home to support her. We all failed her tbh."/>
    <x v="3"/>
  </r>
  <r>
    <x v="1"/>
    <s v="Okay so I have to be real, I was not completely innocent in all of this and I have had to sit with that._x000a_The girl they bullied was super quiet and small, came from a tough home situation. The two main bullies, one guy one girl, made her life hell every single day. Name calling, verbal abuse, rubber bands, defacing her desk, stinkbombs in her bag, drawing on her uniform, pulling her ponytail. The whole class of 40 people just acted blur and pretended not to see anything._x000a_What I found out later was that the whole thing started because the Mei Ling's crush liked her which is damn childlish leh. And then Bryan just followed along because he wanted to impress the girl. This poor girl kena tormented for so long because of some immature jealousy she had nothing to do with. Damn jialat sia."/>
    <x v="3"/>
  </r>
  <r>
    <x v="1"/>
    <s v="tbh lucky i never kena the physical stuff but the verbal bullying was damn jialat. Almost every day got people saying stuff to me, calling me names, making me feel like trash. i just tahan and tahan but after a while i got so sick of it i just started fighting back physically. after that they all scared liao and slowly stopped bothering me."/>
    <x v="4"/>
  </r>
  <r>
    <x v="2"/>
    <s v="Got this boy in my class who kept getting bullied by some of the other kids. not just teasing or name calling, they actually kena punched in the stomach. like literally punched. i saw it happen and it was so uncomfortable to watch, i didn't really know what to do. then things got even more suss when people started doing this choking thing and calling it a game. i confirm wasn't going near that. sometimes i felt bad for not doing more but honestly i also didn't know how to step in."/>
    <x v="3"/>
  </r>
  <r>
    <x v="2"/>
    <s v="i honestly thought the choking thing in movies was just stupid but seeing it in real life was actually quite scary. people were just laughing and acting like it was no big deal but like, you can actually faint or worse from that? nobody seemed to care._x000a_This guy in my class keeps getting punched for no reason, plus the verbal stuff on top of that, very poor thing. "/>
    <x v="3"/>
  </r>
  <r>
    <x v="4"/>
    <s v="at first i just ignored it. people say things, you just act blur and move on right? but then it stopped being just words. Andy started getting physical and that was when things got really bad for me. i hated him so much after that, kept that grudge in my heart for the longest time. every time i saw Andy i would feel damn sian and angry all over again._x000a_but i slowly realised holding onto all that anger was also exhausting me."/>
    <x v="3"/>
  </r>
  <r>
    <x v="4"/>
    <s v="i knew something was off with my classmate Sean for a while. he seemed more quiet than usual, kind of on edge. later i found out he had been getting bullied, first verbally then it turned physical. i felt bad that i didn't notice sooner or say something._x000a_Sean told me he used to really hate the guy who bullied him and carried that grudge for very long. but he said eventually he just got over it with time. hearing that made me feel a mix of things, glad he moved on but also a bit guilty that none of us really did anything back then."/>
    <x v="3"/>
  </r>
  <r>
    <x v="3"/>
    <s v="There's this girl called Nicole in my class who keeps making fun of my name. Like every time the teacher calls my name during attendance she'll snicker and whisper something to her friends. It's not like she's beating me up or anything, but it's still damn annoying la. She just has this way of being rude that she tries to pass off as jokes. I don't hate many people but honestly I really cannot stand her. Some people are just plain disrespectful and she's one of them."/>
    <x v="1"/>
  </r>
  <r>
    <x v="3"/>
    <s v="I sit near Nicole who always teases my classmate Jia Xuan about her name. It's not super serious or anything but you can tell she is uncomfortable. Nicole always acts like she's just playing around but it's obviously not funny to the one being made fun of. I also don't really like her tbh, she just comes across as rude for no reason."/>
    <x v="1"/>
  </r>
  <r>
    <x v="4"/>
    <s v="I was always the fat kid in school, and in sec 1 and 2 there were like 4 students from other classes who would always come and disturb me. Mostly saying stuff, but sometimes they'd throw things at me too. It wasn't so bad because my friends were always around and we'd just brush it off together, no big deal._x000a_But then after streaming we all got split into different classes, I realised I was kind of on my own. I told myself that if anything happened again, I had to handle it myself. And of course, things did happen._x000a_But then I started to notice something. These guys weren't actually out to hurt me, they just wanted a reaction. They wanted to laugh, and I was the easiest target. So instead of acting embarrassed or walking away, I started playing along. I'd joke about myself before they could, laugh at their comments, make it into a whole thing. Slowly it became less &quot;haha let's go bully that guy&quot; and more like we were all just clowning around together."/>
    <x v="4"/>
  </r>
  <r>
    <x v="4"/>
    <s v="I remember seeing some guys from other classes always go and disturb this one boy Ming Ze during recess. He was on the bigger side and they'd say things to him, sometimes even throw stuff. In sec 1 and 2 he was always with his friends so it never seemed to affect him that much, they'd just ignore it and carry on._x000a_This time was different though. His friend group got separated into different classes and I could tell he was more alone. The same guys started up again. But what I noticed was that he started handling it differently. He'd actually laugh along with them, make jokes about himself, join in almost. It was a bit unexpected at first but it seemed to work. Slowly those guys stopped coming around as much. I think once he stopped giving them the reaction they wanted they just lost interest."/>
    <x v="4"/>
  </r>
  <r>
    <x v="4"/>
    <s v="There was this period in sec 3 where I kept seeing the same group disturbing Ming Ze during breaks. They'd say stuff to him, and I remember thinking aiyah why they like that one. But what was interesting was after a while he just started owning it? Like he'd laugh along, say stuff back, turn it into a joke. It stopped feeling like bullying and more like they were all just messing around. Eventually those guys stopped targeting him altogether. Honestly kind of respect how he handled it, better than anything I would've thought to do."/>
    <x v="1"/>
  </r>
  <r>
    <x v="4"/>
    <s v="I only caught bits and pieces of what was going on but I knew those guys from other classes were giving Ming Ze a hard time since sec 1. Verbal stuff mostly but I saw them throw things at him a few times too. When they were all still in the same class group his friends would back him up and it didn't seem to bother him much._x000a_After the streaming in sec 3 when everyone got reshuffled, I noticed he was dealing with it more on his own. But instead of just taking it, he started laughing with them. Like he flipped the whole script. Once he did that, the teasing didn't really have the same effect anymore and they slowly stopped bothering him. Smart move honestly."/>
    <x v="1"/>
  </r>
  <r>
    <x v="3"/>
    <s v="Okay so Dylan has been bullying me since primary school and somehow we ended up in the same secondary school AND the same class. I think he liked me but couldn't deal with it so he took it out on me instead. It started back in pri sch during music class when we had this random staring contest and it just never stopped after that.In sec sch I was really close with this group of guys in my class. We always joked around, talked about sx stuff, laughed at stories and stuff like that. We were like 13 or 14 so it was mostly just talking lah, nothing serious. I genuinely had a lot of fun with them.Then last week Dylan just opened his mouth in front of everyone and said I wasn't a virgin. Just like that. Said it was because I was always hanging out with the guys and laughing along with them, and made some disgusting comment about me. I was so shocked I didn't even know what to say. I wasn't laughing. I was hurt and I was angry and I just wanted to disappear.Later during basketball he pushed me to the floor. Like actually shoved me down. The guys in my friend group did stand up for me though, they told him off and helped me up and told me to just ignore him, which I appreciated even if it didn't fully undo how embarrassed and upset I felt.And that's not even everything. He also took my first ever Instagram photo, the one where I was trying to look cute lah, and spread it around the class to make fun of my face. He literally said I was &quot;acting cute.&quot; I am so done with him honestly."/>
    <x v="4"/>
  </r>
  <r>
    <x v="3"/>
    <s v="There's this guy in our class Dylan who has had it out for this girl Hui Qi since primary school. Somehow they ended up in the same class again in sec sch and he just continued. I never really understood why he always targeted her specifically._x000a_She's really close with a bunch of the guys in our class, like they're always joking around together and it's obvious they're just good friends. But last week he just stood up and said something super inappropriate about her in front of everyone, basically implying she wasn't a virgin because she hung out with the guys so much. It was not funny at all. You could see her face just drop. She looked really hurt and angry at the same time and honestly the whole vibe in the class went awkward immediately._x000a_Then later during basketball he actually pushed her onto the floor. Like physically pushed her down. A few of the guys told him to back off and helped her up which was good at least, but still it was damn uncomfortable to watch. The fact that he even did that in the first place was just wrong lah._x000a_Oh and he also screenshot her first Instagram post and was showing it around class making fun of how she looked, saying she was trying to act cute. I felt bad for her. She didn't do anything to deserve any of that."/>
    <x v="4"/>
  </r>
  <r>
    <x v="3"/>
    <s v="Honestly I always felt a bit bad whenever I saw what Dylan did to Hui Qi. They were from the same primary school and from what I heard he never really left her alone even back then. Getting put in the same sec sch class must have been a nightmare for her._x000a_During one of our lessons, he just randomly made that comment about her in front of everyone. It was super vulgar and uncalled for. She looked like she wanted to cry and fight him at the same time. The guys in their friend group actually spoke up which I was glad about, and they helped her out during the basketball session too when he pushed her down. Like at least not everyone just stood by and did nothing I guess._x000a_He also spread her Instagram photo around to make fun of her face. I saw people laughing at it and I just thought it was so childish and mean lah. She wasn't doing anything wrong, she was just posting a normal photo."/>
    <x v="4"/>
  </r>
  <r>
    <x v="3"/>
    <s v="Okay so when I was in sec 2 I had a boyfriend right. And apparently Rebecca was really into him. Like super obsessed. So what did she do? She gathered a whole big group of people and they all waited for me outside school after dismissal just to threaten me into breaking up with him. And honestly with that many people surrounding me what was I supposed to do, I just broke up with him lah. Damn sian."/>
    <x v="1"/>
  </r>
  <r>
    <x v="3"/>
    <s v="I remember seeing this whole group of girls gathering after school one day, like a really big group, and they were waiting for this one girl, Sam. Turned out it was because Rebecca liked Sam's boyfriend and basically wanted her out of the picture. They surrounded Sam and the whole vibe was very intimidating. Sam ended up breaking up with the guy after that. I mean with so many people coming for you like that what can you even do right. Felt quite bad for her lah."/>
    <x v="1"/>
  </r>
  <r>
    <x v="4"/>
    <s v="Okay honestly I will admit I half deserved what happened to me because I am very much an &quot;I told you so&quot; kind of person lah.So there was this gangster type guy called Ben in my sec school. We got off on the wrong foot straight away because he grabbed me by the collar and told me to meet him outside school. And I immediately went to tell the teachers. Our DMs were all ex police officers so yeah he got into trouble fast. After that he absolutely hated me. But then I kept provoking him back. Like when he threw food on me I would just say things like &quot;wah you confirm going CWO soon because you're so dumb.&quot; And then when he actually did get CWO I looked him in the face and said &quot;look who's headed for a world with no future.&quot; I know I know.Outside of school was worse though. Ben would see me on the bus and literally spit on the back of my head or throw bottles at me. He tried to punch me multiple times and one time he missed and ended up hitting my friend on the jaw instead. I told him if he kept this up he was going to end up in prison.So yeah. He was genuinely violent and it was a whole thing. But I also cannot pretend I wasn't adding fuel to the fire every single time lol."/>
    <x v="3"/>
  </r>
  <r>
    <x v="4"/>
    <s v="There's this guy called Colin n my class who I genuinely cannot tell if he is very brave or very suicidal. There's a known gangster in our school called Ben who grabbed him by the collar one day and told him to meet outside school. What did my guy do? Immediately went to tell the teachers. The DMs are all ex cops so the gangster kena big time and from then on he had a target on his back.The thing is Colin kept talking back. Like tBen would throw food on him and he would literally say &quot;you're going CWO soon cause you're dumb.&quot; And when Ben actually did CWO Colin went up to him and said &quot;see, world without a future.&quot; Bro I was watching from the side like please stop talking lah.Outside school also got drama. I heard Ben spit on him and threw bottles at him on the bus. At some point he tried to punch Colin but missed and hit his friend on the jaw instead. And even after all that my classmate STILL told Ben he was on track for prison. This guy really cannot help himself."/>
    <x v="3"/>
  </r>
  <r>
    <x v="4"/>
    <s v="I just got punched on the jaw yesterday. Ben had beef with my friend Colin since forever because he told the teachers the moment Ben grabbed him by the collar. Which honestly fair enough but also Colin kept making it worse by saying things like &quot;you'll be doing CWO&quot; and then actually going up to him when he did CWO to rub it in. I was standing there like bro why are you like this._x000a_Then one day on the bus Ben tried to punch Colin and I was just in the wrong place and got clocked on the jaw instead. Damn pain sia. Because of my friend's big mouth. And you know what Colin said after? He told Ben he was on track for prison. I wanted to facepalm so hard. Like yes Ben is in the wrong for being violent but my friend really did not make things easy for himself or for me honestly."/>
    <x v="3"/>
  </r>
  <r>
    <x v="1"/>
    <s v="I keep getting bullied and the sad thing is I didn't even fully realise how bad it was at the time._x000a_Everytime during class, people just keep punching me out of nowhere. And then because I wanted so badly to fit in with the more playful and popular kids I ended up letting them use me as like a practice dummy for WWE wrestling moves. Finishers and everything. I just wanted to be included so I went along with it even though it was not fun at all._x000a_"/>
    <x v="3"/>
  </r>
  <r>
    <x v="1"/>
    <s v="In class there's a guy called Hong Siang who really just wanted to fit in with everyone. He kept hanging around the more playful group of boys and honestly they were quite rough with him. Like they would randomly punch him between classes and also use him for WWE wrestling moves. Full finishers. And he would just go along with it because I think he thought that was how you made friends."/>
    <x v="3"/>
  </r>
  <r>
    <x v="4"/>
    <s v="Clara basically made my life hell just because my old bestie Pei Xuan and I got close again after we ended up in the same class. Like, we drifted for a while but then we started talking again, and I guess she didn't like that at all._x000a_So Clara started targeting me. I don't even want to go into the details but whatever she did really broke me down sia. I used to be already quite shy and awkward, and after that I just became even worse. I would overthink everything, scared to talk to people, scared to go to school even. My mum noticed I wasn't myself but I didn't know how to explain it to her."/>
    <x v="1"/>
  </r>
  <r>
    <x v="4"/>
    <s v="I am in the same class as Bernice and honestly I felt quite bad because I could see what was going on but I didn't know how to step in._x000a_The whole thing started because Pei Xuan got closer again to Bernice. Like they were old friends who reconnected, but Clara just couldn't accept it I guess. She started doing things, spreading stuff, being cold and making others cold towards Bernice too. The kind of bullying that's hard to &quot;prove&quot; but you can feel the whole vibe of it._x000a_Bernice is already very quiet and shy one, so she just kind of shrunk even more. You could tell she was struggling but she never said anything. I regret not saying anything either tbh. I was scared of being the next target."/>
    <x v="1"/>
  </r>
  <r>
    <x v="4"/>
    <s v="I only knew about it after the fact because my friend Bernice told me, but apparently it was quite bad throughout._x000a_From what I understand the whole drama started over friendships, like Clara felt threatened that her bestie Pei Xuan was reconnecting with Bernice. Very jialat lah, to bully someone just because of that._x000a_I see Bernice around school sometimes and she seems okay on the outside but I think she's still quite affected. Like she's very guarded and doesn't really open up easily. It's sad because she was already quite shy to begin with, and now it's even harder for her to trust people. Hope she gets better soon."/>
    <x v="1"/>
  </r>
  <r>
    <x v="1"/>
    <s v="Pri sch was honestly quite a rough time for me. I don't look very &quot;manly&quot; I guess, like I have bigger eyes and longer eyelashes compared to most guys, and people would use that to come at me. The word &quot;gay&quot; got thrown at me a lot, just because of how I look. Didn't matter that it wasn't even true, they just wanted something to use against me._x000a_After PSLE finished they stopped luckily. Maybe they stressed..."/>
    <x v="1"/>
  </r>
  <r>
    <x v="1"/>
    <s v="This whole year Lucas tio marked by the other guys in class. They would make comments about his eyes and eyelashes, call him gay, that kind of thing. Even laugh about it in front of him. It was damn uncomfortable to watch and I don't think I said enough back then to stop it._x000a_He never really reacted much on the surface, just kind of brushed it off or ignored them, but I think inside it must have been quite draining to deal with every day._x000a_After PSLE the bullies moved on and I think they stopped."/>
    <x v="1"/>
  </r>
  <r>
    <x v="4"/>
    <s v="Honestly I don't even know where to start. Nicholas was the one who started everything. Slowly got the others to gang up on me, like all these &quot;jokes&quot; that weren't really jokes lah. Put me down in front of everyone, make me look stupid, and somehow I was still supposed to be leading the group? Shiok for him right, sit back and watch me struggle while he poisons everyone against me. The worst part is he never said sorry. Not once. Like zero accountability. And now??? Now he has the audacity to start some anti bullying podcast and some advocacy thing on tiktok, talking about life lessons as if he is so wise and philosophical like that. I see his content and I actually cannot. The person who made my life so toxic is out here acting like he is some kind of mentor. I don't know whether to laugh or cry sia."/>
    <x v="1"/>
  </r>
  <r>
    <x v="4"/>
    <s v="Got this one guy in our group Nicholas, always act very close to everyone but behind the scenes he keep nudging people to say stuff to Kok Peng. Like whisper here whisper there, until slowly the whole vibe just turned very sour. The one being targeted was supposed to be leading us somemore, but how to lead when everyone keeps cracking &quot;jokes&quot; at your expense? Not funny one, but nobody wanted to be the next target so everyone just go along with it. Quite funny ah this Nicholas started some tiktok about anti bullying. Even got a whole advocacy group. I was shook when I found out. "/>
    <x v="1"/>
  </r>
  <r>
    <x v="4"/>
    <s v="I rmb feeling very uncomfortable during recess because Kok Peng kept getting taunted. One guy, Nicholas kept making these snide little comments toward him, then slowly the rest started joining in. Felt like a slow burn kind of thing, not one big incident but everyday got something. Death by a thousand cuts type of situation._x000a_I never said anything and honestly that still bugs me. But I also didn't want to become the next target so I just kept quiet. Kok Peng never showed how much it affected them but you could tell lah. Now I see Nicholas online talking about bullying awareness and doing coaching  which is crazyyy. "/>
    <x v="1"/>
  </r>
  <r>
    <x v="1"/>
    <s v="Every. Single. Day. Got people coming for me, same age and older ones also. A lot of it was about my weight, always calling me fat this fat that. But honestly I think the real reason they kept targeting me was because I never just tahan and keep quiet. I don't take rubbish from anyone and they couldn't stand that._x000a_My reaction every time was to just fight back, and physically I held my own against most of them, literally ragdolled a few of them lol. But then one time this Sec 5 rugby player decided to get involved and punched me in the face just because I stood up to him. Like ok noted, size difference is real. But even then I didn't regret standing up. I was not about to let people walk all over me even if it meant getting hit."/>
    <x v="3"/>
  </r>
  <r>
    <x v="1"/>
    <s v="There was this person in my cohort Xavier who got targeted basically every day. People kept making fat jokes, which was already damn mean, but I think the real reason they wouldn't leave this person alone was because they never backed down. Never cried, never begged them to stop, always clapped back or straight up fought back physically._x000a_I saw a few of the confrontations and honestly the bullies got more than they bargained for most of the time lmao. But the one that really stuck with me was when this Sec 5 rugby player got involved. This guy was damn buff, and he just punched Xavier in the face for standing up to him. The whole thing was damn jialat to watch. But even after that Xavier didn't break. I had quite a lot of respect for that tbh."/>
    <x v="3"/>
  </r>
  <r>
    <x v="4"/>
    <s v="Me and Eunice used to be quite close leh, then suddenly everything went sour. Out of nowhere she started picking on me and laughing at me for no reason in ITE. Like what did I even do?? When I finally went up to her and asked her what her problem was, she just said &quot;nothing&quot; and ran away. Then continued doing the same thing to me after._x000a_The worst part was when she played the pity card and told everyone that I was the one bullying her. It was literally just a miscommunication but she spun the whole thing and got everyone to side her. I even swallowed my pride and apologised, tried to be the bigger person, but she ignored me and ran away again. Like I already said sorry what more do you want._x000a_She last time did the exact same thing to another girl in our class. On top of that she was being quite racist somemore. The whole class already couldn't stand her lah, except her boyfriend."/>
    <x v="1"/>
  </r>
  <r>
    <x v="4"/>
    <s v="From what I know Eunice and Wan Ling used to be friends but things turned very bitter between them. Eunice started picking on Wan Ling and laughing at her for no reason in ITE. When Wan Ling finally confronted her about it Eunice just said nothing and bolted. Then kept doing the same thing like nothing happened._x000a_Then she turned around and told people that Wan Ling was the one bullying her?? It was apparently just a miscom but she milked it until almost everyone sided her. Wan Ling even apologised to try to settle things but she just ignored her and walked off again. I felt quite bad watching that honestly._x000a_I rmb Eunice did this before, someore also being quite racist. Most of the class already don't like her by now, only her boyfriend still on her side. Some people never change sia."/>
    <x v="1"/>
  </r>
  <r>
    <x v="4"/>
    <s v="Eunice and Wan Ling used to be friends but things turned very bitter between them. One day Eunice started picking on my classmate and laughing at her for no reason in ITE. When my classmate finally confronted her about it Eunice just said nothing and bolted. Then kept doing the same thing like nothing happened._x000a_Next thing Eunice said Wan Ling bully her. It was apparently just a miscom but she milked it until almost everyone sided her. My classmate even apologised to try to settle things but she just ignored her and walked off again. "/>
    <x v="1"/>
  </r>
  <r>
    <x v="4"/>
    <s v="I am a bit chubby, and Mike and his clique decided to make that their problem. Since I'm a girl the bullying wasn't super violent or anything but it was still very annoying and uncomfortable lah. They would bang my desk or kick my bag, that kind of petty stuff. Yesterday, I met a few other girls who were also on the chubbier side and we just clicked and formed our own little clique. At least got people who understood what it felt like."/>
    <x v="4"/>
  </r>
  <r>
    <x v="4"/>
    <s v="Got some guys in our primary school class who kept picking on  Clarice because she was chubby. Not like super aggressive but they would bang her desk or kick her bag, the kind of thing that seems small but happens enough times to really get to you. Glad she found her group  of friends now, at least got backup"/>
    <x v="4"/>
  </r>
  <r>
    <x v="2"/>
    <s v="I don't even know how to talk about this properly. What happened to me was not just some normal bullying thing. Before that video that everyone has been sharing even started, those idiots had already strangled me and beaten me up along the stairway in school. They wouldn't let go, that's the part everyone saw in the video. But nobody saw what happened before that.My mum took photos of the marks on my neck. I just want people to know the full story because the video only shows part of what they did to me."/>
    <x v="2"/>
  </r>
  <r>
    <x v="2"/>
    <s v="I heard from people that before that video even started, those boys were already attacking Matthew on the staircase. Like strangling him and beating him up. The video is literally only the second part of what happened._x000a_His mum posted photos of the marks on his neck and it was quite bad lah. This was a whole assault, not just some shoving or whatever. Hope the school actually does something about it."/>
    <x v="2"/>
  </r>
  <r>
    <x v="2"/>
    <s v="Everyone keeps sharing that one video so I better report faster also. Those boys had already cornered Matthew at the stairway before that, strangled him and beat him up. The video that went viral only shows after all that had already happened and they still wouldn't let go of him._x000a_His mum shared the photos of the marks on his neck. Seeing that was quite shocking honestly. He kena quite bad sia."/>
    <x v="2"/>
  </r>
  <r>
    <x v="3"/>
    <s v="Ahmad and Qian Hua actually broke my leg. Like they full on assaulted me until my leg broke. But the thing that really stuck with me was what my classmates did after. The whole class, like literally 20 to 40 people, surrounded those two guys during recess and told them straight up to back off. Not to hurt anyone anymore. I never felt so supported in my life lah, knowing my whole class had my back like that."/>
    <x v="2"/>
  </r>
  <r>
    <x v="3"/>
    <s v="Yesterday, Ahmad and Qian Hua assaulted Roger and actually broke his leg. When we found out, the whole class just decided we were not going to let that slide. During recess we gathered everyone and went to confront them, ended up being like 20 to 40 of us surrounding 2 of them. We told them straight to their faces to stop bullying our friend. "/>
    <x v="2"/>
  </r>
  <r>
    <x v="3"/>
    <s v="I saw firsthand how the whole class rallied when those bullies Ahmad and Qian Hua broke Roger's leg. 20 to 40 of us just showed up during recess and surrounded those three boys. No fighting or anything, just made it very clear that what they did was not okay and they better not touch our friend again._x000a_"/>
    <x v="2"/>
  </r>
  <r>
    <x v="2"/>
    <s v="I think I became an easy target because I'm quite small sized and also more on the introverted side. Not the type to fight back or make noise. So Alan and Hafiz just kept coming for me.But the part that really broke me was what happened at home. My mum is a narcissist and she straight up refused to believe me when I told her what was going on. She thought I was getting into fights and making up excuses to skip school. So instead of helping me, she caned me. Like I was already getting beaten up in school and then I go home and kena again. Injury on top of injury, literally.The teachers also never did anything. I think maybe because Alan and Hafiz come from families with connections and influence, so the teachers just chose to look away. No way to expose what was happening, no way to get help. Nothing.I dread going to school every single day. Hated it more than anything. There is nowhere safe, not school, not home. The people who were supposed to protect me, my parents, my teachers, all of them just didn't care. I feel completely defenseless and I wonder about being suicidal."/>
    <x v="2"/>
  </r>
  <r>
    <x v="2"/>
    <s v="There was this classmate of mine Fikri who was pretty small and quite quiet, the kind of person who never really caused trouble or drew attention to himself. Precisely because of that he kept getting targeted.I heard at some point that he tried telling his mum about it but caned him cos she thought he was lying to get out of going to school, like he's already going through so much and then he goes home to that.The teachers also just kept quiet throughout. Some people said it was because the bullies had parents with influence. "/>
    <x v="4"/>
  </r>
  <r>
    <x v="2"/>
    <s v="Fikri was small and introverted so Alan and Hafiz thought they could push him around. What made it worse was that teachers saw what was happening and said nothing. His mum apparently thought he was faking it and making excuses and caned him instead of helping him."/>
    <x v="4"/>
  </r>
  <r>
    <x v="4"/>
    <s v="These two guys Rai and Jai in my class were classic attention seekers lah, keep coming for me._x000a_They flex about going to the gym or doing Muay Thai, like okay good for you. Then they'd shove me and get into their little Muay Thai stances and go &quot;come lah, fight lah&quot; right in my face. So childish but also genuinely quite threatening. Then come the &quot;let's settle this outside&quot; talk. And if that wasn't enough they'd start boasting about their weapons, telling me things like &quot;you never see my parang or samurai yet&quot; like they were in some movie. Every day also got this kind of rubbish to deal with."/>
    <x v="4"/>
  </r>
  <r>
    <x v="4"/>
    <s v="Got these two twins in class Rai and Jai who always bullying Stanley. They keep pushing him and going into Muay Thai poses while saying things like &quot;come lah fight lah&quot;. Always talking about settling things outside. Then they'd start with the weapon talk, bragging about having a parang or samurai as if that was supposed to impress anyone. It was very uncomfortable to watch and honestly a bit scary too because you never fully know if these people are serious or not."/>
    <x v="4"/>
  </r>
  <r>
    <x v="4"/>
    <s v="Honestly I don't even know where to start but Shiva and Kumar made school damn miserable for me. They'd talk among themselves in their own language right in front of me, then burst out laughing, and I just knew they were talking about me lah. Like that kind of feeling very uncomfortable one, you know? Cannot prove anything but you just know._x000a_Then sometimes they'd actually come up to me and hit me or put stuff on me, and when I got upset they'd be like &quot;Eh brother, joke only lah, why so serious?&quot; As if that makes it okay. I'm supposed to just laugh along meh? Every time I felt like saying something they'd warn me not to tell Mr. Lim, say if I do they'll make things even worse for me. So I just kept quiet lor, what else can I do._x000a_The worst part was when they'd act all friendly suddenly, come ask me personal questions, weird ones some more. And I stupidly answered because I thought maybe they genuinely wanted to know. Then the next thing I know the whole class knows everything, and they'd be shouting &quot;Macam this guy! Hahaha&quot; super loudly. So embarrassing sia. Like I was just some joke to them the whole time."/>
    <x v="4"/>
  </r>
  <r>
    <x v="4"/>
    <s v="Aiya I feel bad that I never did anything but I really didn't know how to step in lah. This Shiva and Kumar damn joker, they always target Boon Kia. Like they'd huddle together and whisper in front of him then suddenly burst out laughing and looking at him, so obvious they were making fun of him leh._x000a_Sometimes they'd go up to him and hit him or put things on him, then act innocent like &quot;Eh brother joke only lah why so serious.&quot; The guy's face I tell you, you can see he very uncomfortable but he cannot say anything. Because these people already warned him not to go tell Mr Lim, say they'll make it worse if he does. Heng suay jialat sia_x000a_The thing that made me most jialat was watching them pretend to be friendly, go ask Boon Kia all these personal and weird questions. Then they go around telling the whole class and mock him super loudly &quot;Macam this guy! Hahaha.&quot; Everyone laughed along. I didn't laugh but I also didn't say anything and honestly that also not right on my part sia._x000a_"/>
    <x v="4"/>
  </r>
  <r>
    <x v="4"/>
    <s v="I sit near Boon Kia in class so I see everything one. Those two clowns they think very funny lah, always speaking in their own language and then laughing and staring at him until it's duh who they talking about. He just sit there and pretend not to notice but confirm he notice one._x000a_Got one time they walk over and hit him, just like that, put stuff on him also, then when he reacted they say joke only lah don't be so sensitive. I was like huh, you hit someone that's a joke meh. But I also scared to say anything because they're the type that'll turn on you too._x000a_They even tell him don't go report to Mr Lim or else. So he kena trapped like that. The part that really got me was they'd go act nice, ask him questions about himself, then blast everything to the whole class and shout &quot;Macam this guy!&quot; super loud. Whole class laughing at him. I could see his face drop. I really should have said something but at that point I also froze. Still feel guilty about it now tbh."/>
    <x v="4"/>
  </r>
  <r>
    <x v="1"/>
    <s v="I’m the class rep but honestly it just feels like I'm constantly targeted by my own form teacher. She’s never happy with anything I do. Even when I just try to tie my hair properly, she calls me vain in front of everyone. Then she keeps saying I’m lazy, inconsiderate and inefficient cos I don’t run early to unlock the classrooms, when in truth every other class also didn’t do that. _x000a__x000a_That day after event day, someone left a used tissue paper on her table. She got super mad and made a huge fuss about it and refused to start class until the person owned up. I felt bad for everyone so I tried to step in and apologise on behalf of the class but she just yelled at me to shut up. Then she kept dragging the whole thing, berating us non stop and wasting everyone’s time. I just stood there feeling so humiliated."/>
    <x v="1"/>
  </r>
  <r>
    <x v="1"/>
    <s v="The teacher keeps picking on our class rep for small things, like even tying her hair also get called vain. It’s quite unfair because she actually does her job properly but the teacher always say she lazy and inefficient. That day someone accidentally left a used tissue on the table after event day, and she got super angry. She refused to start class and kept asking who did it. Our class rep tried to apologise for everyone to calm things down, but the teacher just yelled at her in front of all of us. The whole class just sat there while cher kept scolding. Honestly it felt like she was targeting her."/>
    <x v="1"/>
  </r>
  <r>
    <x v="2"/>
    <s v="Some people started saying my mother wasn’t actually my mother. At first I thought it was just a joke but then it kept spreading around. More people started repeating it like it was real. I don’t know how to react and honestly I feel damn stupid. Like why are they saying this kind of thing. It made me really uncomfortable and I didn’t even know how to defend myself."/>
    <x v="1"/>
  </r>
  <r>
    <x v="2"/>
    <s v="There was this rumour going around that this girl’s mum wasn’t actually her mum. Some people started it and then others just followed, spreading it everywhere. You could tell she felt really bad about it. She looked confused and embarrassed, and honestly it was quite mean. It didn’t even make sense but people still kept saying it."/>
    <x v="1"/>
  </r>
  <r>
    <x v="1"/>
    <s v="The guys in my class are super mean, like those paikia type. They like to pick on the non-popular ones in class all the time and make fun of them. I'm really ugly, plus I’m quiet and shy, so I guess I'm an easy target for them. I’m skinny, short, and my face got a lot of acne, and they keep making fun of all that. Whenever I walk past or when I'm just minding my own business, they will giggle or make those laughing sounds at me. It happens so often since last year that I just expect it already. It doesn't help that I'm also not very sociable and quite awkward, so people see me as some outcast. To them I’m just some weirdo they can laugh at anytime."/>
    <x v="1"/>
  </r>
  <r>
    <x v="2"/>
    <s v="Hi I really don’t know what to feel or what to do. I feel like my friend group kind of hates me and it’s been going on quite often. There are 6 of us including me, but they always talk and joke with each other and go out to eat without inviting me. Sometimes I ask if I can join then they include me, but if I don’t ask, they won’t. They do not talk to me online and only offline. They don’t really talk to me unless I talk to them. They never text me or ask me to play games, like I’m not even in their mind. I really didn’t do anything to upset them. In fact I feel like I help them more than normal friends would. It just makes me feel like maybe they don’t even want me there but I also don’t want to distance myself because one of them has been my friend the longest, and now because of this group he also barely talks to me anymore."/>
    <x v="1"/>
  </r>
  <r>
    <x v="1"/>
    <s v="There’s this classmate who sits beside me and he is mean to me very often. He keeps saying really hurtful things, like telling me I have no dad even though that’s not true. He also constantly keeps saying things like women have no rights and just keeps teasing me until I feel really sad. I usually just laugh it off so people don’t think I care. Today it got worse. He told me straight up that he isn’t my friend and only talks to me for entertainment. Honestly I already kind of knew that and I was okay with it. But then he kept going on about how I don’t have a dad and when I said it’s not true, he just said he dun care. Every time I try to say anything, he always has something nasty to say back. He also called me stupid and said my English is said my english is bad as f**k... I replied that his other subjects also not good except English, and then things became very tense. During English class I sometimes copy his work to save time, which I know is wrong, and he used that against me, saying without him I can’t even do my work. We kept arguing until the end of the lesson. I just felt very cold inside. I’ve been feeling like this a lot this year, like scared and worried. What makes it worse is that he’s my table partner sitting right beside me, so I keep thinking he could do something to me anytime!"/>
    <x v="1"/>
  </r>
  <r>
    <x v="1"/>
    <s v="I sit near them in class and I’ve noticed this guy is quite mean to his table partner very frequently. He keeps making comments about her not having a dad, even though she said it’s not true. He also says quite offensive things and keeps teasing her until she looks uncomfortable, but she usually just laughs it off. Today I saw things escalate. He told her he isn’t her friend and only talks to her for entertainment. After that he continued making more hurtful comments and didn’t care even when she tried to explain. Then they started arguing about studies. He called her stupid and the whole thing became quite tense and they kept disagreeing until the lesson ended. After that she looked quite shaken. Since they are table partners, it’s quite worrying because this kind of behaviour is happening again and again."/>
    <x v="1"/>
  </r>
  <r>
    <x v="2"/>
    <s v="I know I didn’t do anything wrong, and this situation has been going on for quite some time already. I haven’t spoken or texted them for over a month, but not because I’m angry. It’s because they started avoiding me first. The last time we talked, we were literally playing games together the whole night, just the two of us, so it doesn’t make sense to me.they started ignoring me and avoiding me. After that, they started ignoring me and avoiding me more and more. Then suddenly they blocked me everywhere online without even telling me what I did wrong. At first when they ignored me, I thought it was normal because last time when I felt very depressed, I also used to cut people off. So I assumed they just needed space. But now it just feels like they’ve been secretly hating me this whole time."/>
    <x v="1"/>
  </r>
  <r>
    <x v="2"/>
    <s v="I honestly thought for quite a while about writing this because it might make things worse for me, but I feel really lost right now. Someone has been cyberbullying me quite frequently, not just once or twice. They keep posting things telling me to go and end my life, and also take the exact words I use in my own posts just to mock and taunt me. Recently things got a bit confusing because they also started sharing about their own struggles online, but they are still using the same words I use in my posts. So it feels very uncomfortable and unsettling because it’s like the same person who told me to die is still constantly watching what I do. "/>
    <x v="2"/>
  </r>
  <r>
    <x v="1"/>
    <s v="People in my main class are really mean to me and I feel like a lot of them dislike me, not just one or two people but the majority of the class. This has been happening all the time and I’ve never experienced something like this before. It just feels very toxic and I’m honestly quite scared going to class because it feels like I don’t really belong there. I don’t really know how to deal with it or where to get support."/>
    <x v="1"/>
  </r>
  <r>
    <x v="1"/>
    <s v="From what I see in class, there is quite a strong sense of dislike towards one student from many classmates, and it happens repeatedly. It’s not just a few people but quite a large part of the class involved. The atmosphere feels very tense and the student seems quite affected and uneasy most of the time. It really gives off a toxic environment overall and it’s quite worrying to observe."/>
    <x v="1"/>
  </r>
  <r>
    <x v="2"/>
    <s v="I have a few friends from primary school but they didn’t come to my current secondary school, so now I don’t really have friends here. My classmates have been saying really nasty things about me, like claiming my grandmother got hit by a car (not true). This kind of rumour gets spread quite frequently and it went around the whole cohort, so now a lot of people think that way. It’s been happening quite often and it really affects me because I already feel very alone. Also recently I got 36 out of 100 for my overall in Sec 2 and I broke down and cried for about 2 hours in the classroom and even that got spread around again by others."/>
    <x v="1"/>
  </r>
  <r>
    <x v="2"/>
    <s v="From what I’ve seen, there are quite a lot of rumours and gossip surrounding this student and it happens repeatedly. She doesn’t really have close friends in school and often keeps to herself. One of the rumours was about her grandmother being hit by a car, which was not true but still spread widely across the cohort. Another time, after she got her exam results and cried in class for a long time, that situation also got talked about again and spread. It feels like she gets targeted quite frequently."/>
    <x v="1"/>
  </r>
  <r>
    <x v="3"/>
    <s v="Yesterday I got into a physical fight with my classmate during consultation. I don’t really want to go into how it started, but I just want to share my feelings about it. I usually never get involved in fights and I always try to avoid trouble. The fight really left a deep and traumatic impact on me. Since I am in a religious school, we wore scarves, and during the fight she pulled my scarf first, so I also reacted. She also used manipulative phrases like saying I was “playing the victim” and forced me to apologise. I already apologised WAY before the fight, because I don’t like being forced into it and I avoid being a people pleaser. Now I really don’t want to go to school because of her, even though I still want to learn and attend lessons. Luckily I am on MC today and tomorrow because both my right ankles are terribly swollen. I had to go to the hospital to put on a cast and use crutches. The rest at home gave me some time to calm down after the incident, which was really scary."/>
    <x v="2"/>
  </r>
  <r>
    <x v="3"/>
    <s v="Yesterday there was a physical fight between two classmates during consultation. During the fight both of them were wearing scarves and one of them pulled the other’s scarf first, and the other one reacted too. One of them also said things like the other was “playing the victim” and was pressurising her to apologise. After the incident, one of them had very swollen ankles and had to go to the hospital. She seemed very shaken. "/>
    <x v="2"/>
  </r>
  <r>
    <x v="3"/>
    <s v="I saw the fight that happened yesterday during consultation and it was quite serious. Both students got physically involved and it escalated from scarf pulling. There was also some heated exchanges where one party accused the other of “playing the victim”. After that, one of them ended up with swollen ankles on both sides, went to hospital, got a cast and is now using crutches. Even though it was a single incident, the impact on her seems quite severe."/>
    <x v="2"/>
  </r>
  <r>
    <x v="2"/>
    <s v="I just joined this school last April and at first I really struggled a lot. I used to sit alone in the bathroom and I had no friends at all. After June holidays I came back and became really close with this girl. At a birthday party, which was a sleepover with her and some other girls, she pulled one of the girls aside and said I couldn’t come, so I got kicked out. After that she even told the other gir that I went through her closet so I had to clear that up. The following week, everyone started ignoring me, especially her. Then she blocked me everywhere and started hanging out with the popular girls, basically kicking me out of the friend group I got her into. Now I’m really lonely, I have no one to eat lunch which is quite embarrassing. This has been happening quite often lately and I’m thinking of changing schools."/>
    <x v="4"/>
  </r>
  <r>
    <x v="1"/>
    <s v="My schoolmates bully me quite often because of my weight. There is another guy with the same name as me, and people would call me the ugly version of him. I also constantly get called ugly, gay boy, and big foot in class but the teachers didn’t really do anything. One of my guy friends went into my phone and found personal stuff like clips of me singing, and he started circulating it around the school. Many people ended up having the recording and will play it whenever I walk past. A  group of Malay kids also kicked me in the stomach sometimes after I defended myself during the bullying. I’m now afraid of talking to people."/>
    <x v="3"/>
  </r>
  <r>
    <x v="1"/>
    <s v="From what I saw in school, the bullying towards him happened on a regular basis. He was frequently teased about his weight and appearance, as well as other insults like ugly and big foot. People also repeatedly humiliated him by playing the recording of him singing at him every time he passed by. There was also a physical incident where he was kicked in the stomach by a group of students after he defended himself."/>
    <x v="3"/>
  </r>
  <r>
    <x v="4"/>
    <s v="People in my class formed gangs and they call me smelly, stinky, black and whatnot. Making fun of me was their jolly pass time. I even got pinched and beaten up a few times. No one wanted to partner with me in school activities and if the teacher randomly paired me with someone, that person would also start making fun of me, and then others would laugh and join in too. I walk around school alone trying to avoid the bullies. Even outside school, I'm scared of running into my classmates around the neighbourhood and I cry every day after school."/>
    <x v="3"/>
  </r>
  <r>
    <x v="4"/>
    <s v="They would tease him with names like smelly and stinky and sometimes physically pinch or beat him. In class activities, he was often left out and nobody wanted to work with him. When he was forced into groups, others would also start mocking him, and it would spread to more students. He mostly walks alone in school and avoids everyone. "/>
    <x v="3"/>
  </r>
  <r>
    <x v="2"/>
    <s v="I am targeted by 2 to 3 people quite frequently. My stationery will get stolen on a regular basis, and my school shoes even got thrown into the dustbin before. I also got pushed a lot of times, and one of the bullies even actively try to expose me for playing truancy even though I wasn’t skipping school. It got so bad that he even went to my house and shouted outside saying  &quot;[my name] is a master of truancy by skipping school all the time&quot;. There was also a really hurtful incident when my grandfather passed away. But when I came back, this guy approached me and said  &quot;Dont pretend that your grandfather is dead, you only used that excuse to skip school as usual&quot;."/>
    <x v="4"/>
  </r>
  <r>
    <x v="2"/>
    <s v="I get cyberbullied quite often, and people keep calling me ugly because I have really bad teeth. This girl who was behind it and even told me she would bring her “gang” down to confront me and stuff, but in the end nothing happened because it was all fake. It turned out the whole thing was from some random fake account that were my &quot;friends&quot; hating on me for no reason. Crazy."/>
    <x v="4"/>
  </r>
  <r>
    <x v="2"/>
    <s v="I think I'm quite stupid, so I got ignored quite often and people will lie to me and gaslight me for my money because I get slightly more pocket money than them. My &quot;friend&quot; will occasionally threaten me with things and I get really scared because I kept thinking my parents will get involved and I would get into trouble. "/>
    <x v="4"/>
  </r>
  <r>
    <x v="1"/>
    <s v="I was singled out very often, almost to the point I cried myself to sleep at night because I felt scared, and that eventually made my parents notice. I'm very shy, didn’t think I'm good looking, and I wear specs so I always felt like I looked like a nerd, and I got picked on constantly because of that. During recess, the bullies will take money from my wallet so sometimes I only drink water from the water cooler or I just sit somewhere quiet with fewer people. I'm not close to anyone in school at all. Even school rules made things worse because I had to tuck in my shirt, so even the girls looked down on me like talking to me with hostility or even help the bulliesto bully me too (snatching my pencil case, bag, water bottle and textbooks). "/>
    <x v="4"/>
  </r>
  <r>
    <x v="1"/>
    <s v="During recess, there were times where his money was taken, and he would end up sitting alone or just drinking water without proper food. He also seems very withdrawn and doesn't have close friends in school. There were also incidents where other students would take his things or treat him with hostility. It kept happening repeatedly and he looked very affected."/>
    <x v="4"/>
  </r>
  <r>
    <x v="2"/>
    <s v="I'm in NCC CCA which has a lot of paikia. They think im weak (skimny, short and smol is a horrible combo). That made me an easy target. I'm being ostracised and looked down on by the express group since I’m in NA. They would give me that disgusting look, keep harping on my mistakes and even try to use rank to put me down, which was very annoying lol. An NT Malay gang likes to think they are above all and will also do verbal bullying like calling me names and shouting my name just to humiliate me and get my attention. There is also frequent light physical bullying like pinching and twisting my nipples, hitting my head, shooting objects at me and taking my stuff. Luckily it never got to extreme beatings..."/>
    <x v="3"/>
  </r>
  <r>
    <x v="2"/>
    <s v="In NCC CCA, there is a student who getspicked on quite frequently and it happens regularly during training. One group from the express cohort would ostracise him and look down on him, often using rank and constantly pointing out his mistakes in a very condescending way. Another group, an NT Malay group, would also engage in verbal bullying like shouting his name , and sometimes even light physical actions like pinching, hitting his head, throwing objects and taking his belongings."/>
    <x v="3"/>
  </r>
  <r>
    <x v="1"/>
    <s v="It all started in P3 and has been going on for almost one whole year already. Some of the boys in my class keep saying they were “pranking” me, but actually they were the ones disturbing me and then pretending I was the one doing it. One of them would kick me or flick the back of my head quite frequently, and and when I ask them to stop (quite loudly) they just continue. They will even steal my stationery and claim it is theirs. Till today I still never got it back, and it happens so often that I just stop expecting to see my things again. I really dread going to school every single day. People also called me names like autistic and LKY, and they always try to exclude me from other classmates. They even tried doing weird things like sticking out their hands to grope me in the toilet cubicles (I strategically managed to climb up onto the toilet bowl and when it struck again I used my full strength and stepped on his arm, never felt bad about it). There was also an incident where I was almost pushed down the stairs by another bully called Goh (nickname)."/>
    <x v="2"/>
  </r>
  <r>
    <x v="1"/>
    <s v="This student got bullied quite frequently by a group of boys since P3 until now and it went on for almost a whole year. I saw them often kick him or flick the back of his head and then claim it was just pranks. His stationery also got stolen multiple times. There were also hurtful name calling incidents like them calling him autistic, and he was often excluded from the rest of the class. I also heard about some very inappropriate behaviour in the toilet where they did funny things to him. "/>
    <x v="2"/>
  </r>
  <r>
    <x v="1"/>
    <s v="There is a student who is getting targeted for almost the whole year. This group of boys would kick him, flick his head, and steal his stationery while pretending it was a joke. He was also often called names and excluded from class group activities. There were also more serious incidents like that time when I saw one of the bullies almost push him down the stairs. "/>
    <x v="2"/>
  </r>
  <r>
    <x v="4"/>
    <s v="I am a victim of bullying in school. The bullying I’m experiencing in school right now isn’t all that serious, currently it’s only name calling and social exclusion but it still hurts. It feels so pathetic for me to feel hurt by just simple words of hate coming from my peers because I lack the confidence to stand up for myself. No matter how much I want to confront these bullies, I know damn well that I’d stutter as I’m not very good at articulating my thoughts. I desperately want to seek help and put a stop to this because it has affected my daily life. I can’t put my phone down and go to sleep because I am afraid that the moment I lay down and try to fall asleep, I would start to think about the bullying and how much it hurts me."/>
    <x v="1"/>
  </r>
  <r>
    <x v="4"/>
    <s v="Recently during PE and also in class, I got teased quite a few times about my appearance, like my size. It happened over a few days, not just once. Every time they said it, I felt quite paiseh and didn’t know what to say. Now I just keep quiet most of the time and don’t really talk to others anymore."/>
    <x v="1"/>
  </r>
  <r>
    <x v="2"/>
    <s v="I am in an upper primary class and recently during a performance practice, all the other boys kept saying nasty things about me. I think sometimes I get angry easily but I don’t feel like I deserved what they did. They didn’t want to sit near me at all and kept moving away. Some of them even kicked me. It happened a few times and I felt very angry and also quite hurt. The teacher only stepped in when small fights started and just told them to stop, but after that everything just continued again._x000a__x000a_."/>
    <x v="3"/>
  </r>
  <r>
    <x v="3"/>
    <s v="During group work today, one of the boys called me stupid when we were discussing the answers. It wasn’t a big argument, but I felt quite affected when he said it. After that, I just kept quiet and didn’t really contribute for the rest of the activity."/>
    <x v="1"/>
  </r>
  <r>
    <x v="3"/>
    <s v="During recess outside the class, I went to confront the group who took my country flag erasers and pencil case earlier. They denied everything again and started forming a circle around me. They called me names and kept laughing at me. I felt very scared and overwhelmed and ended up crying. After that, they tried to snatch my lunch money, which made me panic even more._x000a_"/>
    <x v="4"/>
  </r>
  <r>
    <x v="3"/>
    <s v="_x000a_During recess, I saw a group of students surrounding one boy outside the class. They were calling him names and not letting him leave. He looked very stressed and started crying. After that, some of them tried to take his money, and the situation became more serious."/>
    <x v="4"/>
  </r>
  <r>
    <x v="2"/>
    <s v="Recently in class, someone put staples on my chair before I sat down. I only noticed it when I was about to sit, and it made me feel quite scared and unsafe. This kind of thing has been happening together with other harassment. During recess, I also keep receiving notes with mean things written on them. Because of this, I usually spend most of my recess alone or only with a few friends I trust. I feel quite isolated._x000a__x000a_"/>
    <x v="4"/>
  </r>
  <r>
    <x v="4"/>
    <s v="I didn’t see who did it, but I saw staples on a student’s chair in class and it seemed intentional. I also heard that he has been receiving notes during recess that are meant to disturb him. Now he mostly stays by himself or with a few close friends during recess and doesn’t interact with the rest of the class much."/>
    <x v="4"/>
  </r>
  <r>
    <x v="2"/>
    <s v="In school, people keep making fun of me because I wear braces. They say I talk funny whenever I speak in class. I also usually have two braids with centre parted hair, and some boys keep commenting on that. They laugh at me for my skirt being below my knees and also point out my leg hair. It happens quite often and makes me feel very self conscious and embarrassed._x000a__x000a_"/>
    <x v="1"/>
  </r>
  <r>
    <x v="3"/>
    <s v="I didn’t see everything, but I heard some boys making comments about a girl’s appearance. They were talking about her skirt being too long and laughing. She looked quite uncomfortable and didn’t respond."/>
    <x v="1"/>
  </r>
  <r>
    <x v="3"/>
    <s v="Just now in class, I got hit on my lip with a small portable whiteboard. He said it was because I splashed water on him after stepping on a puddle earlier. I didn’t expect him to react like that. It really hurt and I felt quite shocked and scared after it happened."/>
    <x v="3"/>
  </r>
  <r>
    <x v="3"/>
    <s v="During class, I got hit on the lip by someone using a small portable whiteboard. It happened because he said I splashed water onto him after stepping on a puddle. It hurt and I felt quite shocked because I didn’t expect him to react like that."/>
    <x v="3"/>
  </r>
  <r>
    <x v="3"/>
    <s v="During class discussion, I tried to speak up even though I usually don’t talk much. I was already very nervous and my heart was beating very fast, and I started to stutter. When I was talking, one boy told me to stop talking and said I was being an attention seeker. After that, I felt very embarrassed and just kept quiet for the rest of the lesson. Now I don’t feel like speaking up anymore._x000a__x000a_"/>
    <x v="1"/>
  </r>
  <r>
    <x v="3"/>
    <s v="I was in the same class when this happened. One student was trying to contribute to the discussion but seemed quite nervous and was stuttering. Then another boy told him to stop talking and called him an attention seeker. After that, he became very quiet and didn’t speak again."/>
    <x v="1"/>
  </r>
  <r>
    <x v="3"/>
    <s v="After school, I got bullied by an older boy over a basketball. He snatched my basketball, so I went up to him to ask for it back. He refused and suddenly started beating me up. His group of friends just stood there watching. He even used the basketball and smashed it into my torso. It hurt a lot and I felt very scared and helpless. One of them even shouted at me to go home to my mother, which made me feel even more humiliated."/>
    <x v="2"/>
  </r>
  <r>
    <x v="3"/>
    <s v="During break, a senior came up to me and asked if there was any butter left. I said no. Then he asked me to give him my bread, and I refused. He kept smiling and repeatedly asked if I was sure. I felt quite pressured but I still said no. After that, he said “alright, whatever” and started walking away. As he walked past me, he suddenly slapped my hand and my bread dropped onto the floor buttered side down. I felt shocked and quite upset."/>
    <x v="4"/>
  </r>
  <r>
    <x v="3"/>
    <s v="I was nearby when a senior approached a student and asked him about butter. After that, the senior asked for his bread but the student refused. The senior kept asking him again and again, even though he already said no. When the senior walked away, he suddenly slapped the student’s hand and caused the bread to fall onto the floor. It seemed intentional."/>
    <x v="4"/>
  </r>
  <r>
    <x v="4"/>
    <s v="Recently, there are two main boys who keep targeting me. They would use me to try out wrestling moves they probably saw the night before on WWE. It happens more than once and I don’t really have a choice when they do it. I feel quite scared and uncomfortable when it happens."/>
    <x v="3"/>
  </r>
  <r>
    <x v="3"/>
    <s v="I noticed two boys always going to the same student and doing wrestling moves on him. It didn’t look like a game because he didn’t seem okay with it and looked quite uneasy."/>
    <x v="3"/>
  </r>
  <r>
    <x v="4"/>
    <s v="In class, some Malay boys and a few Chinese boys started calling me “German Shepherd” because I’m German-born. After that, it got worse. Many of the boys would insult me and call me things like Nazi. Sometimes they also beat me up. It happens more than once and I feel very targeted and scared when I’m around them._x000a__x000a_"/>
    <x v="3"/>
  </r>
  <r>
    <x v="3"/>
    <s v="I saw a group of boys surrounding one student and saying things about him being German. They were calling him names and insulting him. I also saw some pushing and hitting. The student looked quite overwhelmed and didn’t really respond."/>
    <x v="3"/>
  </r>
  <r>
    <x v="3"/>
    <s v="In class, one of my classmates suddenly snatched my bag and ran out of the classroom. I didn’t expect it and felt quite panicked. He went to hide it somewhere in the school, and I couldn’t find it. I felt very stressed because all my things were inside."/>
    <x v="4"/>
  </r>
  <r>
    <x v="4"/>
    <s v="I didn’t see the argument, but I noticed that after some time, a lot of people in class started ignoring one girl. When she walked past, some students would give her looks and whisper to each other. She looked quite uncomfortable and didn’t talk much._x000a_"/>
    <x v="1"/>
  </r>
  <r>
    <x v="3"/>
    <s v="During a Chinese group project, I was paired with a girl from a popular clique. After we had a disagreement, she started hating me. After that, most of the class stopped talking to me. When I walk past, they give me dirty looks and whisper. It keeps happening and makes me feel very uneasy and paranoid. In the same year, I forgot my textbooks under my desk and came back about 30 minutes later. They were gone. I never got them back, even though it was near exam period. I felt very stressed."/>
    <x v="4"/>
  </r>
  <r>
    <x v="2"/>
    <s v="In school, I often get ostracised because I listen to metal music. People make it a big thing and treat me differently. Some of the boys also push me around because they know I have a temper but I’m physically quite weak. It happens quite often and I feel quite helpless when it happens. One time in the canteen, I wanted to sit on a seat that a senior had his foot on. I asked him if I could use the seat, and he told me his foot was worth more than my existence. I felt very insulted and embarrassed. There is also a senior who has been messaging me on Instagram. He keeps saying that I will never grow out of being weak and sends me things like that repeatedly. It makes me feel quite discouraged."/>
    <x v="4"/>
  </r>
  <r>
    <x v="1"/>
    <s v="Almost every day in school, people make comments about my body when they walk past me. It keeps happening and I feel very uncomfortable each time. Recently, someone even called me just to make fun of me. After that, I felt quite distressed and didn’t know how to react."/>
    <x v="1"/>
  </r>
  <r>
    <x v="2"/>
    <s v="’m currently in Sec 2 and I’m quite a shy person, so I only have one close friend in school. Since Sec 1, there were two girls who would try to make me angry. When I ignore them, they make fun of me for it. Even though one of them has left the school, the situation is still quite bad. It keeps happening and makes me feel very upset and frustrated. I don’t feel comfortable telling teachers because I’m scared they will make fun of me even more. My mum told me to report it myself, but I don’t feel like I can handle it alone. I feel quite helpless in this situation."/>
    <x v="1"/>
  </r>
  <r>
    <x v="1"/>
    <s v="I’m from the LGBT community, and people here treat me like I’m some kind of joke. I don’t even bother anyone. I just want to be left alone, but they still keep coming for me._x000a__x000a_People use “gay” like it’s an insult all the time. Even though I’m not super loud or flamboyant, they still target me verbally and physically. Some of them even use God to justify it, which feels so fake because they’re the ones bullying me in the first place._x000a__x000a_I get attacked in a group chat too. They tag me almost every day and say I’m going to hell, that I’m cursed, and that I should stop pretending and be normal. The chat is full of swearing and slurs, and it makes my heart race whenever I see notifications._x000a__x000a_In school, the comments start the moment they see me. They call me things like scum of the earth and mistake of God. One day someone knocked my books off the table. While I was picking them up, a group insulted me, kicked me, and tried to pull my pants down because they said they wanted to “examine” my gender. Teachers seem to either not care or pretend not to notice, and I’m scared if I speak up it’ll just become counselling or my parents getting called._x000a__x000a_During recess, boys still mock the way I walk and call me names. In the restroom, one guy harassed me even after I said I was uncomfortable, while others laughed. I ended up crying and hiding there until almost the end of school._x000a__x000a_Every day I go home feeling physically, mentally, and emotionally drained."/>
    <x v="3"/>
  </r>
  <r>
    <x v="1"/>
    <s v="I keep seeing this guy called Ryan get targeted. People use “gay” as an insult around him a lot. They make nasty comments the moment they see him. There’s also a group chat where they tag him, tell him he’s going to hell, say he’s cursed, and spam him with slurs and swearing. One day his books got knocked off the table. While he was picking them up, a group insulted him, kicked him, and tried to pull his pants down because they said they wanted to “examine” his gender. Damn messed up."/>
    <x v="3"/>
  </r>
  <r>
    <x v="3"/>
    <s v="There is this guy Aidan, he came up to me with a long iron bar used to lock the classroom cabinet and strangled me. I was struggling to breathe."/>
    <x v="2"/>
  </r>
  <r>
    <x v="2"/>
    <s v="Brandon and Qaiser spam me with thousands of insulting messages over a literature project. Brandon also keeps verbally harassing me in class."/>
    <x v="1"/>
  </r>
  <r>
    <x v="1"/>
    <s v="Since the first week of school, Zi Yi and his group keep tormenting me. It’s not just normal teasing. Every day got taunts, and sometimes they say perverted and really messed up sexual things to me too._x000a__x000a_Recently, they even stole my phone from my locker. I already feel stressed coming to school because it’s like they are always looking for ways to make my life worse._x000a__x000a_A few days ago, everything got worse. I flung my schoolbag in the direction of the bully, and straight away he beat me up badly. He’s much bigger than me, like almost twice my size, so I really couldn’t do much."/>
    <x v="3"/>
  </r>
  <r>
    <x v="4"/>
    <s v=" I saw Jasmine being targeted by some classmates. They accused her of posting something online she didn’t do. She showed proof, but they deleted the chat and kept spreading rumours.They removed her from their group work, called her useless and ugly."/>
    <x v="1"/>
  </r>
  <r>
    <x v="2"/>
    <s v="People in my class keep making fun of me, laughing at me, and calling me names. I’m in SC, so I’m not in class a lot, but even when I am, the other student councillor in my class keeps looking down on me and mocking me. Just a few days ago, she laughed at me during class and said something really mean because I was awkward, and it made me feel awful."/>
    <x v="1"/>
  </r>
  <r>
    <x v="1"/>
    <s v="Someone pulled my pants down to my ankles in front of everyone. I froze, unable to speak, and felt humiliated. Later in the canteen, two wannabe YP guys harassed me while I was just trying to eat quietly. PE lessons continue to be rough because people mock me all the time, and I feel like I can’t defend myself."/>
    <x v="3"/>
  </r>
  <r>
    <x v="1"/>
    <s v="I feel like being class chairperson makes me a target. People are always watching me, and it seems like everyone in the class wants to pick on me. Today in class, one of the other student councillors laughed at me while I was trying to answer a question and called me awkward. During PE lessons, I get mocked a lot too. A few days ago, I was walking back with the class keys, and some classmates complained loudly that I was too slow. I just stood there quietly because I didn’t know what else to do. The constant attention and bullying make school stressful, and I’m not sure what to do next."/>
    <x v="1"/>
  </r>
  <r>
    <x v="2"/>
    <s v="I notice the guys keep targeting Xin Yi because they think she’s an easy person to make fun of. They’re the paikia type, and they like picking on the less popular people. She’s very shy and awkward, so she usually just keeps to herself, and that somehow makes them bother her even more._x000a__x000a_They like to make comments about how she looks. She’s quite skinny, short, and has acne, and they keep laughing at those things. A lot of the time, when she walks past or is just sitting there doing her own stuff, they start giggling or making laughing noises like she’s some joke to them. It’s obvious they see her as an outcast.She doesn’t really fight back or talk much."/>
    <x v="1"/>
  </r>
  <r>
    <x v="3"/>
    <s v="A few days ago, some of the popular girls started spreading a nasty rumour about me, saying I broke a major school rule. Almost everyone in class started avoiding me. What do i do T T"/>
    <x v="1"/>
  </r>
  <r>
    <x v="1"/>
    <s v="I see Lucas getting bullied almost every day. I remember a few classmates stealing his stationery and throwing his shoes into the dustbin. One kid even shouted outside his house that he skipped school. It was really cruel."/>
    <x v="4"/>
  </r>
  <r>
    <x v="2"/>
    <s v="I am getting excluded from almost everything in class, and people constantly called me weird, pathetic, and only good at studying. On top of that, some girls started targeting me because of my looks. They said I was ugly, disgusting, and that I’d grow old alone. It felt like nothing about me was safe from their insults. "/>
    <x v="1"/>
  </r>
  <r>
    <x v="2"/>
    <s v=" I have been getting cyberbullied a lot. People called me ugly because of my bad teeth. One girl even said she’d bring her “gang” down to confront me, but it turned out it was all fake accounts, and none of it was real. Even some of my friends were following the fake accounts and hating on me for no reason."/>
    <x v="1"/>
  </r>
  <r>
    <x v="1"/>
    <s v="I saw Ryan and Daniel bothering Alex again today while he was changing after PE. They grabbed and pinched his chest like it was funny, and he didn’t resist. This has been happening for a long time."/>
    <x v="3"/>
  </r>
  <r>
    <x v="2"/>
    <s v="Omar and Faisal keep making fun of me constantly, ignored me, and mocked my race. There were other small things too, but honestly I’m too tired to list them all."/>
    <x v="1"/>
  </r>
  <r>
    <x v="2"/>
    <s v="Today at school, Kevin and Shaun pressured me over pocket money, lied to me, and made threats. This has been happening for awhile. I am afraid of telling my parents. I dont really want them to be involved."/>
    <x v="4"/>
  </r>
  <r>
    <x v="2"/>
    <s v="A few days ago in school, Amanda and Belle humiliated me again. People in class treat me like I’m the ugly girl, and even some girls avoid me like I did something wrong just by existing. I’m not even bothering anyone, but somehow I still become a target._x000a__x000a_The constant looks, avoidance, and humiliation make my self esteem drop like crazy. I keep hating how I look and feeling like no one will ever treat me with basic respect if this is how people see me. It’s damn exhausting to come to school already expecting to feel small."/>
    <x v="4"/>
  </r>
  <r>
    <x v="2"/>
    <s v="I have been seeing Amir being targeted by Fadil and Imran the last few weeks. They would take his phone during soccer and distribute private photos and recordings to humiliate him. He was constantly called gay and fat, and as a result, other students, especially girls, kept their distance. Amir often appeared anxious, quiet, and hesitant to engage socially."/>
    <x v="4"/>
  </r>
  <r>
    <x v="2"/>
    <s v="Recently at school and CCA, I’ve been dealing with ongoing bullying from Amir and Faisal. They call me names, shout to humiliate me, pinch or twist me lightly, hit my head, throw objects at me, and sometimes take my belongings. Most of this happens in hidden areas like the toilets or corners of the hall"/>
    <x v="3"/>
  </r>
  <r>
    <x v="2"/>
    <s v="I saw Ryan being picked on by Hakim, Zaki, and Farid a lot recently. They would push him around and play with his belongings. "/>
    <x v="4"/>
  </r>
  <r>
    <x v="3"/>
    <s v="I saw Ethan Lim being bullied by Darren and Joel today. The bullies kept drawing on Ethan’s textbooks and took his snacks without permission. They also verbally harassed him using derogatory names. Ethan looked like he want to cry."/>
    <x v="4"/>
  </r>
  <r>
    <x v="2"/>
    <s v="I experienced repeated bullying from Isaac Lim, Hafiz, and several other students. The incidents included teasing, name-calling, and being socially outcasted. My mother tried to intervene on multiple occasions, but they are still bullying me. Help me please"/>
    <x v="1"/>
  </r>
  <r>
    <x v="3"/>
    <s v="During recess today, a few guys from 3B cornered me behind the canteen. I don't even know what I did to them. They started pushing me around and then Marcus just punched me in the face. I fell and hit my head on the drain cover. Everything went blurry for a while. My nose was bleeding a lot and I could not get up properly. A teacher found me on the floor and brought me to the sick bay. The school nurse said I needed to go to the hospital because my nose might be broken and I hit my head quite hard. My mum had to come and bring me to A&amp;E. My whole face still hurts now and I feel scared to go back to school tomorrow."/>
    <x v="2"/>
  </r>
  <r>
    <x v="3"/>
    <s v="I was walking back from buying my food when I saw a group of boys surrounding Darren near the back of the canteen. I recognised Marcus from 3B. He punched Darren really hard in the face and Darren just collapsed onto the floor. There was blood coming from his nose and he was not moving properly. I did not know what to do so I ran to get a teacher. By the time we came back Darren was still on the ground. It was very scary to watch. I feel bad that I did not do something sooner."/>
    <x v="2"/>
  </r>
  <r>
    <x v="3"/>
    <s v="I saw the whole thing happen from near the drinks stall. There were like four or five guys from 3B and they had Darren trapped in the corner. They were shoving him and laughing. Then Marcus punched him and Darren hit his head on the drain when he fell. I was shocked and I froze. I have never seen so much blood before. A lot of students were watching but nobody did anything at first. When the teacher came everyone just scattered. I think Darren had to go to the hospital. I am still a bit shaken up."/>
    <x v="2"/>
  </r>
  <r>
    <x v="3"/>
    <s v="After PE today some girls waited for me outside the changing room. Huiying and her friends started pulling my hair and pushing me into the wall. I tried to walk away but they kept blocking me. Huiying kicked my leg really hard and I heard a crack and the pain was so bad I just started crying. I could not walk without limping badly. My PE teacher saw me crying outside and asked what happened. She called my parents and they brought me to the clinic. The doctor said I might have a hairline fracture and I need to go for an X ray tomorrow. My leg is wrapped up now and I cannot go for school activities. I am so embarrassed and I really do not want to see them in school."/>
    <x v="2"/>
  </r>
  <r>
    <x v="3"/>
    <s v="I was still inside the changing room when I heard loud noises outside. When I came out I saw Huiying and two other girls surrounding Syafiqah. Huiying kicked her leg very hard and Syafiqah screamed and fell against the wall. She was crying and could barely stand. The other girls just laughed and walked off like nothing happened. I went to help Syafiqah stand but she said her leg was in a lot of pain. I stayed with her until the PE teacher came. I feel very guilty because I did not step in to stop it earlier."/>
    <x v="2"/>
  </r>
  <r>
    <x v="3"/>
    <s v="I was walking past the girls changing room after PE when I heard Syafiqah crying. I saw Huiying and her group standing around her and Huiying had just kicked her. Syafiqah was leaning against the wall and could not walk properly. The other girls were laughing and talking like it was nothing. I was scared they would do something to me too so I just walked faster to find a teacher. I told my PE teacher and she went to check. I hope Syafiqah is okay because her leg looked really bad."/>
    <x v="2"/>
  </r>
  <r>
    <x v="4"/>
    <s v="This is not the first time they did this to me. Last time also, Bryan and his friends cornered me in the toilet and slammed my head against the sink. I had to go to KKH that time because my forehead was cut and bleeding. I thought they would stop after that but today during lunch they did it again behind the school hall. Bryan punched me in the stomach a few times and when I fell down he stomped on my hand. My fingers are super swollen now and the school nurse thinks maybe one is fractured. My mum is on the way to bring me to the hospital. I am scared because sometimes I never know when they will come for me again. It just happens out of nowhere and I never feel safe in school anymore."/>
    <x v="2"/>
  </r>
  <r>
    <x v="4"/>
    <s v="I have seen Bryan and his group bother Ethan a few times before but today was the worst. They were behind the hall and I saw Bryan punch Ethan in the stomach and then step on his hand after he fell. Ethan was crying and holding his hand and it looked very bad. I know this happened before because once in a while I would see Ethan walking around looking scared and I could tell something had happened to him again. I told my form teacher just now and I hope this time the school actually does something because it keeps happening."/>
    <x v="2"/>
  </r>
  <r>
    <x v="4"/>
    <s v="Today was not the first time I saw Ethan get hurt by Bryan and those guys. A few times I noticed Ethan coming to school with bruises and I kind of suspected something was going on. Today I actually saw it happen. Bryan punched him and then stepped on his hand and Ethan was screaming in pain. I was behind the hall getting water and I just stood there in shock. After they left I went to help Ethan and he was crying very badly. His hand looked really swollen. I feel so bad that I did not report it the earlier times when I had a feeling something was wrong."/>
    <x v="2"/>
  </r>
  <r>
    <x v="4"/>
    <s v="Sometimes after school when I am waiting for my mum at the side gate, Jasmine and her group will find me and start hitting me. It happened before in secondary one and I thought when we moved to secondary two it would stop. But once in a while they still come. Today Jasmine slapped me across the face and then her friend grabbed my arm and twisted it so hard I screamed. A teacher heard me and came running. My arm is in a lot of pain and I cannot lift it properly. The school called my parents and I am going to the polyclinic later. I am so tired of this. I never know which days will be okay and which days they will come. Every time I reach the gate I just feel very scared inside."/>
    <x v="2"/>
  </r>
  <r>
    <x v="4"/>
    <s v="I have seen Jasmine and her friends bother this girl Nurul a few times after school near the side gate. Sometimes I would just walk past and see them surrounding her and I did not really know if it was serious. But today I actually saw Jasmine slap Nurul across the face and her friend twist her arm. Nurul was crying out in pain very loudly. I am glad the teacher was nearby and came quickly. I feel bad that the last time I saw something I did not say anything. I thought maybe it was just friends fooling around but now I know it was not."/>
    <x v="2"/>
  </r>
  <r>
    <x v="4"/>
    <s v="I was waiting at the side gate for my dad today when I saw Jasmine's group surrounding Nurul again. It happened before, once in a while I would see them near Nurul and she always looked very uncomfortable. But today it was different because Jasmine actually hit her and another girl twisted her arm very violently. Nurul was screaming and crying. A teacher came running and I was shaking just watching. I gave my statement to the teacher just now. I really wish I had said something earlier the other times I noticed something was off because maybe it would not have gone this far."/>
    <x v="2"/>
  </r>
  <r>
    <x v="4"/>
    <s v="A few times this year I noticed Nurul looking upset or scared near the side gate after school but I always thought maybe she was just having a bad day. Today I finally understood what was actually going on. I saw Jasmine slap her really hard and one of the others grabbed her arm and wrenched it back. The sound Nurul made was horrible. I immediately went to look for a teacher and thankfully one was already coming after hearing the scream. This has clearly been going on for a while and I feel really guilty for not connecting the dots sooner."/>
    <x v="2"/>
  </r>
  <r>
    <x v="3"/>
    <s v="During the school camp last Friday in the dormitory block, I was sleeping and I woke up because I felt someone touching me under my shirt. It was Kelvin from my class. When I screamed he ran off. I was so shocked I could not move for a while. I did not tell anyone that night because I was scared and embarrassed. I feel so disgusted and I keep crying. "/>
    <x v="2"/>
  </r>
  <r>
    <x v="3"/>
    <s v="I was sleeping in the same dorm room during camp when I heard Priya scream. I woke up and saw Kelvin rushing out of the room. Priya was sitting up on her bed shaking and crying. I went to her and asked what happened but she was too shocked to say much. I stayed with her the whole night but I did not know what to do or who to tell."/>
    <x v="2"/>
  </r>
  <r>
    <x v="3"/>
    <s v="During camp I did not see what happened directly but I saw Kelvin sneaking toward the girls side of the dorm quite late at night. I thought it was weird but I told myself maybe he was just going to the toilet in the wrong direction. When I heard Priya scream a few minutes later I connected it in my head but I was too scared to say anything."/>
    <x v="2"/>
  </r>
  <r>
    <x v="2"/>
    <s v="I do not really know how to say this but I have to report it. It has been happening a few times in the boys changing room after PE. A senior, I think he is from secondary four, would come in and touch me and tell me not to tell anyone or he would make my life very difficult."/>
    <x v="2"/>
  </r>
  <r>
    <x v="2"/>
    <s v="A few times after PE I noticed a senior hanging around outside our changing room and I thought it was a bit weird because he had no reason to be there. Once I saw him go inside when Marcus was still in there and I thought maybe they knew each other. Today Marcus ran out of the changing room looking very scared and pale. "/>
    <x v="2"/>
  </r>
  <r>
    <x v="3"/>
    <s v="Today after PE Marcus suddenly ran out of the changing room and he looked really frightened. His face was completely white. I asked him what happened but he just kept walking very fast back to the canteen."/>
    <x v="2"/>
  </r>
  <r>
    <x v="3"/>
    <s v="Someone created a fake Instagram account using my photos and my name. They edited some of my photos to make them look very inappropriate and started posting them and tagging people from my school. The account also sent those photos to boys in my class and told them it was me sending the pictures. By the time I found out, so many people had already seen it and were talking about me. People were laughing at me in school today and I did not understand why until my friend showed me the account."/>
    <x v="2"/>
  </r>
  <r>
    <x v="3"/>
    <s v="Someone in my class forwarded me a link to this Instagram account that looked like it was Vivienne's but something was very off. The photos were edited in a very inappropriate way and the account was sending these pictures to people in our school. I knew immediately it was fake and that someone had done this to humiliate her. I went to tell Vivienne personally because I felt she needed to know. She had no idea and she started crying when she saw it."/>
    <x v="2"/>
  </r>
  <r>
    <x v="3"/>
    <s v="A few guys in my class were passing around screenshots from this fake Instagram account that was using Vivienne's photos. The pictures had been edited and were very inappropriate. I felt very uncomfortable and I told them to stop sharing it. Some of them thought it was funny but I knew this was wrong and probably illegal."/>
    <x v="2"/>
  </r>
  <r>
    <x v="3"/>
    <s v="I saw the fake account this morning and I was shocked someone would do something like that. The photos were clearly edited to make Vivienne look bad and the account was tagging people from our school. People in my friend group were sharing the screenshots and laughing."/>
    <x v="2"/>
  </r>
  <r>
    <x v="2"/>
    <s v="For the past few weeks someone has been sending me anonymous messages on Telegram telling me to kill myself and that everyone in school hates me. At first I tried to ignore it but then they started sending me my home address and photos of me taken outside my house without me knowing. That means someone has been following me or watching my house. Last night they sent a message saying they knew my daily schedule and that something bad was going to happen to me."/>
    <x v="2"/>
  </r>
  <r>
    <x v="2"/>
    <s v="Hafizuddin showed me some of the Telegram messages he had been receiving over the past few weeks. They were really disturbing, telling him to kill himself and saying everyone hated him. I told him to keep all the screenshots. But when he showed me the message last night with his home address and photos taken outside his house I told him he had to tell his parents immediately because this was beyond just online bullying."/>
    <x v="2"/>
  </r>
  <r>
    <x v="2"/>
    <s v="Hafizuddin told me last week that he was getting very disturbing anonymous messages but I did not know how serious it was until he showed me everything today. Someone sent him his own home address and pictures of him outside his house which means they were physically following him. The messages also told him to hurt himself."/>
    <x v="2"/>
  </r>
  <r>
    <x v="3"/>
    <s v="I was just sitting at the canteen eating my mee rebus when Faizal came up to me and told me to give him my money. I said no and then he reached into his pocket and took out a penknife and held it near my stomach. I never seen him do this before, this is the first time he ever did something like that to me. I was so scared I could not move. My hands were shaking and I just gave him whatever was in my pocket. He took my five dollars and walked off like nothing happened. I did not finish my food after that. I just sat there. I do not know what to do."/>
    <x v="2"/>
  </r>
  <r>
    <x v="3"/>
    <s v="I was queuing for my food and I saw Faizal go up to Darren's table. I thought they were just talking but then I saw Faizal take out something shiny and hold it near Darren. I was quite far so I could not see exactly but it looked like a small knife or cutter. Darren looked really scared, like he froze completely. Then Darren gave Faizal some money and Faizal just walked away. This is the first time I have ever seen Faizal do something like this, never happened before, I was very shocked."/>
    <x v="2"/>
  </r>
  <r>
    <x v="3"/>
    <s v="I was sitting two tables away and I saw the whole thing. Faizal walked up to Darren and they talked for a bit then Faizal showed something from his pocket. I could see it was a penknife because the light reflected off it. Darren looked like he was going to cry. He passed Faizal his money and Faizal left. I never saw Faizal do something this serious before. I just sat there and I did not know what to do either."/>
    <x v="2"/>
  </r>
  <r>
    <x v="4"/>
    <s v="This has happened a few times already. After school at the bus stop near the back gate, Bryan and his group will sometimes wait for me there. The first time they just shoved me around but after that they started bringing a baseball bat. They do not always hit me with it but they will wave it in my face and hit the bus stop shelter to scare me. Last time also they surrounded me and Bryan held the bat near my head and told me if I tell anyone he will use it properly. I have been taking a different route home but sometimes they find me anyway. I am very scared every time school ends."/>
    <x v="3"/>
  </r>
  <r>
    <x v="4"/>
    <s v="I take the same bus as Ethan and I have seen Bryan and his friends at the bus stop waiting for him a few times already. Once in a while when I walk out I will see them surrounding Ethan. One of them, I think it is Bryan, will be holding a black baseball bat. They shout at him and use the bat to bang on the metal shelter. Ethan will just stand there and not fight back. I have seen this happen before, it is not the first time. I always walk faster and pretend I did not see because I am scared they will turn on me too."/>
    <x v="3"/>
  </r>
  <r>
    <x v="4"/>
    <s v="I have seen Bryan's group do this to Ethan maybe two or three times at the bus stop. Sometimes it happens, sometimes it does not but when it does happen they always have that bat with them. That day I saw Bryan swing the bat really close to Ethan's face and Ethan flinched and almost fell. They were all laughing. I felt very bad for Ethan but there were like five of them so I just kept walking."/>
    <x v="3"/>
  </r>
  <r>
    <x v="2"/>
    <s v="Every week, sometimes more than once a week, this Sec 4 senior called Ryan will find me in the toilet near the hall. He always has a box cutter with him. He keeps doing this again and again, I have lost count of how many times already. He will press me against the wall and hold the cutter near my face and ask me to pass him money or do his homework. One time he actually pressed the blade against my arm, not deep but I could feel it."/>
    <x v="2"/>
  </r>
  <r>
    <x v="2"/>
    <s v="I go to the toilet a lot during recess and I have seen Ryan cornering Amirul many times already. Every week it seems like Ryan is there waiting. He usually has this box cutter that he will open and wave around while talking to Amirul. Amirul always looks terrified. This is not a one time thing, they usually do this, Ryan and sometimes one of his friends will come along. Last week I walked in and Ryan had the cutter open right next to Amirul's cheek."/>
    <x v="2"/>
  </r>
  <r>
    <x v="2"/>
    <s v="My classroom is near that toilet and I have seen Amirul come out of there looking really shaken up many times. Once I walked past the toilet entrance and I could hear Ryan's voice inside threatening Amirul, saying stuff like he better not say anything. This keeps happening, I have noticed it for weeks already. One time I saw Amirul's arm and there was a small red mark on it."/>
    <x v="2"/>
  </r>
  <r>
    <x v="2"/>
    <s v="Ryan and his friend have been doing this to Amirul again and again for a long time. I have seen it happen so many times in the toilet block. Ryan always has a box cutter in his hand when he talks to Amirul, he opens it so Amirul can see the blade."/>
    <x v="2"/>
  </r>
  <r>
    <x v="1"/>
    <s v="This has been going on since last year. Almost every single day, Marcus and Shaun will find me, either in class before the teacher comes or outside during recess or after school. One of them always has a flick knife. They will flip it open in front of me and tell me to give them money or buy them food or do their work. It is non-stop, I cannot escape it. Even on days I try to stay near the teacher, they will get me later. My wallet is always empty now. My parents keep asking why I need more allowance and I do not know what to say. I have bruises sometimes because if I say I have no money Marcus will grab my arm and press the blade side against my skin, not cutting but hurting."/>
    <x v="2"/>
  </r>
  <r>
    <x v="1"/>
    <s v="Wei Jie sits near me in class and I have seen Marcus and Shaun do this to him constantly, it feels like every single day. Marcus will lean over and flip open his knife under the desk so the teacher cannot see and Wei Jie will immediately start looking through his wallet. This has been happening all the time since last year, it is not something new. Wei Jie always looks exhausted and scared. Sometimes I see him wince and when I look, Marcus is pressing the knife handle or something against his arm. I have seen this so many times I have lost count. Wei Jie never says anything, he just does what they want."/>
    <x v="2"/>
  </r>
  <r>
    <x v="1"/>
    <s v="Marcus and Shaun have been terrorising Wei Jie non-stop for as long as I can remember, definitely since last year. Every day during class or recess one of them will pull out that flick knife and flash it at Wei Jie. They are very good at hiding it from teachers. Wei Jie will pass them money or food without even arguing anymore, like he has just given up."/>
    <x v="2"/>
  </r>
  <r>
    <x v="1"/>
    <s v="I see Wei Jie being bullied by Marcus and Shaun all the time. It is every day, sometimes even more than once. They will corner him at the canteen or in class and the knife will come out and Wei Jie will just go very quiet and still. I have been watching this happen for months now. Recently I noticed Wei Jie has been coming to school looking really unwell, like he is not sleeping and very thin. Last week I saw Marcus grab Wei Jie's wrist with the knife in his hand and I could see Wei Jie was trying not to cry."/>
    <x v="2"/>
  </r>
  <r>
    <x v="3"/>
    <s v="During one morning assembly, we had to sit in lines with the girls. When I sat down, a few of the popular girls nearby started whispering things like “Ew, I don’t want to sit next to her” and “Sarah, can you sit somewhere else?” One of them even told her friend to take my place instead. They made it quite obvious they didn’t want to be near me and hesitated before sitting down. It felt awkward and embarrassing, but after a while, they eventually settled down once someone else sat beside me."/>
    <x v="1"/>
  </r>
  <r>
    <x v="3"/>
    <s v="There was one incident where a few classmates made fun of me using Facebook. They created a fake profile with my name and posted some embarrassing things as a joke. I only found out because I overheard them talking about it. It felt embarrassing and upsetting, but I haven’t told my parents or anyone else about it."/>
    <x v="1"/>
  </r>
  <r>
    <x v="3"/>
    <s v="I received an “anonymous” message on Tellonym from someone I suspect is in my class. The message contained mean comments, calling me “idiot” and making fun of me. I hate it. "/>
    <x v="1"/>
  </r>
  <r>
    <x v="3"/>
    <s v="Yesterday I noticed a few classmates making jokes about Rachel and laughing among themselves. She looked super uncomfortable and a bit upset by it."/>
    <x v="1"/>
  </r>
  <r>
    <x v="3"/>
    <s v="A classmate made a rude comment, called me “dyslexic” in a mocking way as he walked past. It caught me off guard and felt quite hurtful, especially since it’s about something I can’t change. It was embarrassing and made it hard to focus in class for a while."/>
    <x v="1"/>
  </r>
  <r>
    <x v="3"/>
    <s v="Caleb and a few others made some teasing remarks about me and laughed while I was in the canteen today. I kept to myself for the rest of the day. It was damn hard to focus in class after that."/>
    <x v="1"/>
  </r>
  <r>
    <x v="3"/>
    <s v="I had an argument with a few boys just now after I reminded someone to keep quiet then they called me things like “nigger”, “shut up”, “f*ck you”, “dumb ass”. Idk why they were so mean to me its the first time I've had anyone scold such mean things to me. "/>
    <x v="1"/>
  </r>
  <r>
    <x v="3"/>
    <s v="There was one day in school where I felt left out by some of my classmates. A few of them avoided sitting near me and made some unkind comments when I was around. They are so mean. "/>
    <x v="1"/>
  </r>
  <r>
    <x v="3"/>
    <s v="Janice said some unkind things about us and then she also spread baseless rumours about us and turned our friends against us. So far nothing else has happened yet but idk if she will continue to keep making up ridiculous rumours. "/>
    <x v="1"/>
  </r>
  <r>
    <x v="3"/>
    <s v="Today in school someone started spreading a rumour about me, and suddenly everyone “unfriends” me. People scared that if they talk to me, they’ll become the next target, so nobody want to come near me ever since this afternoon. I feel so depressed and I hate school now. I hope this never happens again. "/>
    <x v="1"/>
  </r>
  <r>
    <x v="3"/>
    <s v="This one time I gave Cheryl a photocopied worksheet, but I filled it in incorrectly as a way of getting back at her for always trying to copy my homework. Later during recess, she made some rude comments towards me and called me a bitch. "/>
    <x v="1"/>
  </r>
  <r>
    <x v="3"/>
    <s v="Last week I heard Cheryl call Nicole a bitch during recess. Not sure why but it caused quite a loud commotion and they were yelling at each other a lot across the whole canteen, and Nicole seemed really angry at Cheryl's insults and name-calling. "/>
    <x v="1"/>
  </r>
  <r>
    <x v="3"/>
    <s v="On the school bus the other day all the students on the bus were laughing at this new guy and calling him fat. I usually take the same school bus but I've never seen this happen before. Then the entire bus ride they kept poking fun at him and I felt so bad for him especially when he's so new at this school."/>
    <x v="1"/>
  </r>
  <r>
    <x v="3"/>
    <s v="Some of my classmates made some nasty comments about me in school after a misunderstanding involving a senior student and on the same day I also saw a post that seemed to be indirectly about me on social media after the incident. They never confronted me about it again ever since that day but I feel scared it'll happen again. "/>
    <x v="1"/>
  </r>
  <r>
    <x v="3"/>
    <s v="I saw Jarrett and Royston calling Hui Ting names and talking shit about her on Instagram last Friday. The 3 of them used to be pretty close, not sure why this suddenly happened but she does seem very stressed by what they did to her on Friday. "/>
    <x v="1"/>
  </r>
  <r>
    <x v="3"/>
    <s v="I was queuing for food at the canteen then I tapped Jared on the shoulder to say hi as usual. He then turned around and started calling me a bastard and other names all of a sudden. He has never reacted this way to me idk why all of a sudden it's like he hates me. "/>
    <x v="1"/>
  </r>
  <r>
    <x v="3"/>
    <s v="I was right behind Trevor in the queue in the canteen and saw Jared shouting and yelling lots of nonsense at him yesterday after he tapped him on the shoulder. Dk what the hell happened but it was kinda scary being so near them when all the shouting happened. "/>
    <x v="1"/>
  </r>
  <r>
    <x v="3"/>
    <s v="Eunice started telling everyone else not to talk to me this afternoon after recess. She was telling everyone she thinks I’m trying to be a goody two shoes for the teacher. We used to be best friends up until yesterday then she pulls something like this on me sia how could she. "/>
    <x v="1"/>
  </r>
  <r>
    <x v="3"/>
    <s v="That day after flag raising, I came back to find my desk covered in someone's used tissue paper. Obviously I got super mad about it and i KNOW someone purposely did this because they left a sticky note on my table saying &quot;loser&quot; on my table. I didn't find out who did it in the end but I really don't want to come to school in case this happens again. "/>
    <x v="1"/>
  </r>
  <r>
    <x v="3"/>
    <s v="I'm in Shanice's class and I sit a few tables away from her and was so shocked to see her desk covered in someone's used tissues. I heard she didn't manage to find out who did it but I have a few suspicions since some of the girls talk bad about her behind her back sometimes. "/>
    <x v="1"/>
  </r>
  <r>
    <x v="3"/>
    <s v="Usually I know this group of people from Jia Hao's gang doesn't like me but they just glare at me sometimes. For the first time today they actually came up to me and hurled vulgarities at me, calling me a &quot;chee bai&quot; and kept poking fun at me with their middle fingers. I couldn't retort back because they were so many of them I can't argue back. "/>
    <x v="1"/>
  </r>
  <r>
    <x v="3"/>
    <s v="Two days ago during PE I got teased quite a few times about my appearance, like my size. It started when I didn't manage to run after the ball when playing football and they started calling me fat to my face. I know they already think that way because they didn't want to group with me for PE but I can't believe they said it to my face this time. "/>
    <x v="1"/>
  </r>
  <r>
    <x v="3"/>
    <s v="During group work today, James say I stupid when we were discussing answers. I know its not a big deal lah but I just kept quiet after that so he can't call me anything else again. "/>
    <x v="1"/>
  </r>
  <r>
    <x v="3"/>
    <s v="During yesterday's group activity my textbooks were purposely damaged by Bryan while were working together at the table. I already know he doesnt like me because he always looks at me with a very mean face but this is the first time he ever actually tried to destroy my things leh. "/>
    <x v="4"/>
  </r>
  <r>
    <x v="3"/>
    <s v="There was one incident in school where I was targeted by a group of schoolmates last week. Some of them made repeated insulting comments about my appearance and compared me negatively to another student also called Jolyn (same name as me). I was shoved and threatened during the confrontation, and they said they will come after me if I dared to tell anyone about this incident, I'm scared."/>
    <x v="4"/>
  </r>
  <r>
    <x v="3"/>
    <s v="A group of classmates made repeated insulting comments towards me during a class activity the other day, calling me names and laughing at me. After class they continued, and lightly shoved me around. After that incident, I avoided interacting with them and avoided any further suituations but damn scared it'll happen again sia."/>
    <x v="4"/>
  </r>
  <r>
    <x v="3"/>
    <s v="In class activity that day Ron was placed into a group and some of our classmates made insulting remarks towards him, and on my way home from school I saw them shove him around also."/>
    <x v="4"/>
  </r>
  <r>
    <x v="3"/>
    <s v="Last thursday in chinese class he flicked the back of my head and continued even after I asked him to stop. It wasn't pain or anything but super annoying and I hate that he was bothering me when I was trying to focus."/>
    <x v="4"/>
  </r>
  <r>
    <x v="3"/>
    <s v="We changed seating positions last week and I got put next to Dylan. He stole my mechanical pencil and claim it was his even when I called him out for it. Its been like one week already and I still haven't gotten it back. "/>
    <x v="4"/>
  </r>
  <r>
    <x v="3"/>
    <s v="During group work today, one of the boys called me stupid while we were discussing the answers. He was stepping on my shoes under the table afterwards and kept snickering at me because I got the answer wrong. "/>
    <x v="4"/>
  </r>
  <r>
    <x v="3"/>
    <s v="Recess time yesterday they tried to snatch my lunch money, it made me panic and scared. What if they try to snatch my money again. I don't want to come to school. "/>
    <x v="4"/>
  </r>
  <r>
    <x v="3"/>
    <s v="I witnessed Umairah try to snatch this girl from another class's money from her wallet during recess time yesterday and she looked so scared of her. "/>
    <x v="4"/>
  </r>
  <r>
    <x v="3"/>
    <s v="I didn’t see everything clearly, but there was one incident where I heard a group of boys making comments about this girl’s appearance during school. They were laughing and criticising her clothing, saying her skirt was too long, and they stood around her and blocked her path while continuing to make remarks. They looked super intimidating. "/>
    <x v="4"/>
  </r>
  <r>
    <x v="3"/>
    <s v="Just now in class, a classmate got really upset at me after a minor disagreement because I accidentally water being splashed earlier. He shoved me in the chest and told me to 'get the hell out of his way&quot; even though I already apologised to him so many times after the water splashing. "/>
    <x v="4"/>
  </r>
  <r>
    <x v="3"/>
    <s v="During class discussion, I tried to speak up even though I usually don’t talk much. I was already very nervous and my heart was beating very fast, and I started to stutter. While I was talking, one boy told me to stop talking and said I was being an attention seeker. After that, a few boys around him started laughing and telling me to shut up, and one of them leaned over like he wanted to block me from continuing. I felt quite pressured and embarrassed so I just kept quiet for the rest of the lesson and didn’t want to speak anymore."/>
    <x v="4"/>
  </r>
  <r>
    <x v="3"/>
    <s v="There was one incident where I noticed two boys approaching the same student during school and making gestures that looked like wrestling moves. It didn’t seem like a mutual game because the student looked uncomfortable and was trying to pull away. "/>
    <x v="4"/>
  </r>
  <r>
    <x v="3"/>
    <s v="In class, there was one incident where a group of boys made repeated insulting comments towards me, calling me “German Shepherd” because I’m German-born and also making other offensive remarks. During the situation, the comments became more intense and a few of them surrounded me while laughing, which made me feel pressured and uncomfortable."/>
    <x v="4"/>
  </r>
  <r>
    <x v="3"/>
    <s v="I didn’t see the full argument, but there was one incident where I noticed a girl being treated differently by several classmates in class. When she walked past, some students whispered and gave her uncomfortable looks, and a few of them tried to block her from coming over when she tried to sit nearby. "/>
    <x v="4"/>
  </r>
  <r>
    <x v="3"/>
    <s v="Today someone made comments about my body when passing by, and even purposely bumped into me and called me fat for taking up so much space in the corridor. It was so humiliating but I couln't do anything but walk away."/>
    <x v="4"/>
  </r>
  <r>
    <x v="3"/>
    <s v="I had a confrontation with a few girls on Wednesday where they tried to provoke me by repeatedly making remarks to get a reaction, and when I ignored them, they mocked me for not responding and poked me in the shoulders condescendingly. I was too scared to speak up."/>
    <x v="4"/>
  </r>
  <r>
    <x v="3"/>
    <s v="On Tuesday I overheard this bunch of guys calling Ryan gay and at one point, his books were knocked off the table, and when he bent down to pick them up a few students surrounded him and made threatening remarks warning him not to rat to the teacher. "/>
    <x v="4"/>
  </r>
  <r>
    <x v="3"/>
    <s v="Ethan sent a large number of insulting messages to me after CCA on Monday, and tried to scare me by threatening to expose my secrets to the class group chat. I'm not sure what I even did to him to make him this angry at me. Please help me please."/>
    <x v="4"/>
  </r>
  <r>
    <x v="3"/>
    <s v="I had a confrontation with Jun Heng and his group during the day. During that situation, there were repeated insulting remarks made towards me, which and they grabbed my schoolbag and started shaking it upside down to dump my things everywhere in frustration. I already feel stressed coming to school with all the work and exams and studies and they are still finding ways to make my life worse._x000a_"/>
    <x v="4"/>
  </r>
  <r>
    <x v="3"/>
    <s v="Today several classmates started distancing themselves and avoided interacting with me. A few of them also told others not to talk to me, which made it feel like I was being singled out and pressured out of social groups. They took my file with my homework in it and didn't want to return it to me. "/>
    <x v="4"/>
  </r>
  <r>
    <x v="3"/>
    <s v="I saw Jasmine approach Lauren and pressure her to hand over her homework to copy. When she hesitated, she made some insulting remarks and tried to shove her lightly. The situation felt really tense and I wanted to step in but couldn't. "/>
    <x v="4"/>
  </r>
  <r>
    <x v="3"/>
    <s v="During class I saw Rayston being targeted by his table group. Some of them, including Ming Jie, took his textbook and started handling it roughly and tossing it around while making comments about his accent since he's Indian. Rayston was trying to act like he was fine but he clearly wasn't and he didn’t seem able to respond."/>
    <x v="4"/>
  </r>
  <r>
    <x v="3"/>
    <s v="I noticed a class photo at the back of the classroom being deliberately vandalised by a few students, with some faces poked with pins. It wasn't like this before recess today, I only saw it like that after I came back from the canteen. Dylan and his gang were also pointing at the photo and laughing while making glances at Wei Jie who looked really uncomfortable. He was one of the faces that got vandalised too. I'm pretty sure Dylan they all did it. "/>
    <x v="4"/>
  </r>
  <r>
    <x v="3"/>
    <s v="They created a fake Instagram profile today using my name which I found out about later and during recess, some of them took my money so I couldn’t buy food. When I came back from the toilet, one of them kicked me in the knees and I fell on the floor. It was so damn humiliating but no one did anything to help me I had to pick myself up. I still haven’t told my parents about what happened since it all happened only today and I'm still in shock."/>
    <x v="3"/>
  </r>
  <r>
    <x v="3"/>
    <s v="Someone sent Alicia anonymous messages on Tellonym like calling her a “slut” and threatening her about coming to seek her out with a knife. Later that same day in school, I saw someone throw a ruler at her face too and it hit her face pretty hard her glasses flew off. Everyone in class was too scared to say anything but we all saw it happen."/>
    <x v="3"/>
  </r>
  <r>
    <x v="3"/>
    <s v="There was an incident after school yesterday where a group of boys surrounded this other kid near the staircase and started making threatening remarks, saying they would “settle him” if he didn’t listen. One of them raised his fist like he was going to hit him, and the other was holding a penknife against his throat. I ran away after that because I was too scared to stop them so I'm not sure if anything else happened after that but I think that student really needs help. "/>
    <x v="3"/>
  </r>
  <r>
    <x v="3"/>
    <s v="During CCE lesson today, a few of the boys started making inappropriate comments towards Kris, including sexual remarks about her body while she was presenting, saying things like &quot;wah seh her boobs damn big leh&quot; and even more inappropriate comments that I don't even wanna say. The teacher didnt hear them but I think she did because she looked very uncomfortable and tried to finish her speech quickly, but they continued laughing and making comments. "/>
    <x v="3"/>
  </r>
  <r>
    <x v="3"/>
    <s v="I found out that an inappropriately edited photo of Charmaine had been shared in a group chat with some of our class boys in it. I didn't see it myself but I heard it was a super suggestive image that wasn't actually her, they just cropped her face onto some onlyfans model or something. and it was being passed around the guys. Please do something about this it's uncomfortable having to come to school knowing any other girl could be next too. "/>
    <x v="3"/>
  </r>
  <r>
    <x v="3"/>
    <s v="During recess, this student accidentally bumped into another guy and it quickly escalated. One of them started shouted insults and I couldn't even process what was happening before I saw him slap the other student. It was about to break out into a fight but luckily their friends pulled them away and got them to stop."/>
    <x v="3"/>
  </r>
  <r>
    <x v="3"/>
    <s v="After PE class today in the boy's toilet, a bunch of dudes in the class made inappropriate jokes and comments about Ryan while he was changing. They were making fun of his size and snatched his shirts and shorts while he was mid change and defenseless. They kept slapping his body lightly as a joke even on his ass and other not so appropriate places as well and he looked like he was about to cry. "/>
    <x v="3"/>
  </r>
  <r>
    <x v="3"/>
    <s v="During science lab, Yong Jun suddenly flicked a rubber band at me from a super close range out of anger when I was arguing with him about how we were doing our titration step wrongly comapred to the other groups. The rubber band hit my cheek quite hard and stung a lot and it left a red mark on my face. No one else saw but he also never apologised to me even after that and continued to do the experiment in silence. I'm not sure if this counts as bullying but it did hurt a lot. "/>
    <x v="3"/>
  </r>
  <r>
    <x v="3"/>
    <s v="I was in the toilet and a few boys came in and started making comments at me. I don't know who they were and I was too scared to go out and get a look at their faces. One of them was slamming on the cubicle door really hard while I was inside and tried to forcefully open it by knocking it down, and he was yelling things like &quot;you better come out now or im going to charge in with a bat&quot;. I just crouched above the toilet seat in silence until they eventually went away but I'm so scared. What if they do this again, and I have no idea who they are too. "/>
    <x v="3"/>
  </r>
  <r>
    <x v="3"/>
    <s v="During badminton CCA today Jia Hao and Wei Jun were arguing and all of a sudden Jia Hao slammed the shuttlecock really hard with his racket aiming right at Wei Jun's face on purpose. The shuttlecock knocked off his spectacles and broke them, and the impact from it slamming into his specs left a cut across his nosebridge barely missing his eyes. "/>
    <x v="3"/>
  </r>
  <r>
    <x v="3"/>
    <s v="I realised Ethan was secretly recording me on his phone while I was in class. He was holding his phone up at a weird angle from the corner of the classroom and it just made me feel uncomfy and scared. When I tried to confront him, he made very inappropriate remarks and nasty comments about my body and it just felt very humiliating like I was harassed. I didn't want to escalate it so I gave up trying to get him to delete the videos but I'm scared this will happen again, or he'll do something even worse to me. "/>
    <x v="3"/>
  </r>
  <r>
    <x v="3"/>
    <s v="I'm not sure if this counts but I think I might have been getting bullied during PE today. It started with someone throwing a ball at me from a short distance but I didn't see who. Then for the rest of the class people were throwing balls at me a lot, and even though they say sorry it sounds like they don't mean it and they were intentionally aiming for me the entire time. It hurts you know, it looks like they were triyng to pass it off as a joke but it hurts. "/>
    <x v="3"/>
  </r>
  <r>
    <x v="3"/>
    <s v="I found out that someone had edited my photo onto some scandalous picture and shared it in a group chat. And I only found out because today, people were pointing at me and laughing and I had to find out from my only friend in the class that this edited picture of me was floating around. It's not even me!  And because of this everyone was saying ridiculous thigns about me and my body and my personal life."/>
    <x v="3"/>
  </r>
  <r>
    <x v="3"/>
    <s v="Kai Jie suddenly snatched my bag during a disagreement today and held onto it to tease me, refusing to return it to me even when I tried asking for it back. I had to physically try to reach for it and grab it back but since he's bigger and taller than me I couldn't reach it and accidentally ended up messing up his hair by accident whne reaching for the bag. He suddenly turned very scary and grabbed my wrist really tightly to the point where it was really painful and he told me not to “try anything” and tightened his grip. I couldn't escape it and it left a red mark. "/>
    <x v="3"/>
  </r>
  <r>
    <x v="3"/>
    <s v="A bunch of the boys in class were ganging up on Jovan during PE today, and they kept throwing balls at him and laughing it off as if it was an accident, but anyone can tell they were doing it on purpose and laughing at him for being fat and unfit. They were hitting him quite hard too and I saw him wincing from the impact. The PE teacher didn't see any of this but Jovan clearly looked distressed but he couldn't say anything because they were passing it off as just playing around. "/>
    <x v="3"/>
  </r>
  <r>
    <x v="3"/>
    <s v="We usually put our textbooks and stuff under our tables right, today I pulled out the books under my table and found a few post it notes stuck to one of them saying &quot;I am going to kill you&quot;, &quot;You better watch out&quot;, &quot;You will die soon&quot;. I really don't know who could have written this but I'm really scared now I don't remember offending anyone and why would anyone pull such a prank on me sia. "/>
    <x v="3"/>
  </r>
  <r>
    <x v="3"/>
    <s v="I was walking past the neighbouring classroom when I saw this guy throw his owala across the classroom at this other guy during what looked like a quarrel. It hit him on shoulder and he immediately winced in pain. I didn't dare to jump in and stop the fight, but it seemed like there was no other throwing or hitting after that, but they did still continue yelling at each other while the guy clutched his shoulder in pain. "/>
    <x v="3"/>
  </r>
  <r>
    <x v="3"/>
    <s v="I overheard Jun Jie scolding his girlfriend in a really serious tone that he would “teach her a lesson for being a slut” and call her things like &quot;whore&quot;, &quot;bitch&quot; and other degratory things. He was also gripping her arms really hard and she looked very scared but unable to say anything in response. I then saw her crying in the toilet with red marks on her arms a while later, probably from Jun Jie gripping her too hard, not sure if she's still doing ok. "/>
    <x v="3"/>
  </r>
  <r>
    <x v="3"/>
    <s v="Bryan jabbed my arm with a pen during a quarrel today over me not wanting to lend him my math homework to copy. It didn’t bleed but it hurt quite a bit and left a mark. He just smirked after that and didn’t apologise to me at all."/>
    <x v="3"/>
  </r>
  <r>
    <x v="3"/>
    <s v="I witnessed Bryan jab Derrick with a pen while they were having a quarrel today. I don't think he was hurt but he did look like he was in pain."/>
    <x v="3"/>
  </r>
  <r>
    <x v="3"/>
    <s v="He got and pushed another student quite hard after class. We all knew he had anger issues but it was the first time I've seen him get physical. He shoved him so hard that the student stumbled and hit his chair. He then kept raising his voice and threatened waved a chair in the air menancingly at him, but didn't actually throw it at him in the end. "/>
    <x v="3"/>
  </r>
  <r>
    <x v="3"/>
    <s v="I didn't see it happen directly but I heard a loud 'thwack' sound and turned around to see Yi Ting holding her cheek in pain, and I assume she was slapped by Charlotte who was still going on and shouting at her even though her cheek was red from impact and she looked like she was about to cry at any time. "/>
    <x v="3"/>
  </r>
  <r>
    <x v="4"/>
    <s v="A few times after school, James and Kelvin will corner me behind the canteen and threaten to beat me up if I didn’t give them money. Sometimes they will use a penknife to threaten me."/>
    <x v="2"/>
  </r>
  <r>
    <x v="4"/>
    <s v="I have seen James and Kelvin cornering Edric behind the canteen a few times and using a penknife to threaten him into giving them money."/>
    <x v="2"/>
  </r>
  <r>
    <x v="4"/>
    <s v="There were a couple of times where someone edited my photo into something inappropriate and shared it in class Telegram groups."/>
    <x v="2"/>
  </r>
  <r>
    <x v="4"/>
    <s v="During recess, there were a few occasions where Evan was so angry with me that he pushed me very hard “by accident,” and one time I fell and had to go to the general office for first aid."/>
    <x v="2"/>
  </r>
  <r>
    <x v="4"/>
    <s v="Sometimes after school, Regine will lock me inside the toilet cubicle that I'm peeing in as a prank. One time I panicked so badly because she wouldn't let me out that I couldn’t breathe properly and had to go to the sick bay."/>
    <x v="2"/>
  </r>
  <r>
    <x v="4"/>
    <s v="Sometimes Rachel will tell me to kill myself when we argue which really hurts my feelings because we are best friends. "/>
    <x v="2"/>
  </r>
  <r>
    <x v="4"/>
    <s v="Darren has hit me a few times outside the school at the bus stop. Once, he punched me in the face and I had to go to the polyclinic. It happened again last month — he and his friends cornered me and kicked me until I fell. I haven't told my parents because they'll make things worse."/>
    <x v="2"/>
  </r>
  <r>
    <x v="4"/>
    <s v="I think Priya really hates me. A few times now, she has posted photos of me from PE class on her private Instagram story with really vulgar captions — calling me ugly and saying I should just disappear. Once she even edited the photo to make it look sexual and shared it with a big group chat. My friends told me about it and I felt so disgusted."/>
    <x v="2"/>
  </r>
  <r>
    <x v="4"/>
    <s v="Shannen told other girls that I was &quot;asking for it&quot; after Ethan touched me inappropriately during the class trip. It happened before last year too, someone else did something similar and she spread the same rumour. Because of what she said, everyone treats me like I'm dirty. "/>
    <x v="2"/>
  </r>
  <r>
    <x v="4"/>
    <s v="Some time ago, a few classmates dared each other to send me messages on Discord saying I should go and die, that nobody wants me here. Rizwan and Marcus did it again last month with a new account after I blocked the first one. My mum saw one of the messages and cried. I feel very guilty. I've started thinking that maybe they're right, and I don't really want to be here anymore."/>
    <x v="2"/>
  </r>
  <r>
    <x v="4"/>
    <s v="A senior, Bryan, has assaulted me physically on two separate occasions near the school canteen. The first time he slammed my head against the wall and I had a bad headache for days. The second time, he punched me in the stomach so hard I vomited. He told me it's my fault for &quot;acting smart&quot; in front of his friends. I'm scared to eat at the canteen now and I've been skipping recess."/>
    <x v="2"/>
  </r>
  <r>
    <x v="4"/>
    <s v="Weijie found out I'm gay and has threatened to tell the whole school a few times. Once, he showed me a voice recording he secretly made of me talking about it, and said he'd send it to my parents unless I did his homework. It happened again last term with a different threat. The stress got so bad I started cutting myself just to cope. I haven't told anyone."/>
    <x v="2"/>
  </r>
  <r>
    <x v="4"/>
    <s v="Alvin has molested me twice — once during a school excursion on the bus, and once in the school library during a free period. Both times he made it seem like an accident in front of others, but I know it wasn't. I feel very confused and ashamed. I haven't reported it because I'm afraid people will say I'm lying or that I made it into a big deal. It happened before last year too so I'm scared it will happen again."/>
    <x v="2"/>
  </r>
  <r>
    <x v="4"/>
    <s v="During our school's cohort camp and again during sports day, a senior called Hafiz pressed himself against me from behind in a crowded area and touched me inappropriately. Both times he acted like nothing happened and walked away. When I told a friend, she said I was overreacting because &quot;it's so crowded what.&quot; I haven't been able to sleep properly and i feel very disgusted now."/>
    <x v="2"/>
  </r>
  <r>
    <x v="4"/>
    <s v="My whole class turned against me after Serene told everyone I had stolen from a classmate, which is not true. They would walk past and whisper things, and a few times someone shoved me hard from behind in the corridor. It happened again after the mid-year exams when Serene started the rumours all over again. I've been crying every night and I've started thinking that if I wasn't here anymore, things would just be easier for everyone. I looked up ways to end my life once but I was too scared to do anything."/>
    <x v="2"/>
  </r>
  <r>
    <x v="4"/>
    <s v="A few boys in school found out I have a skin condition and started calling me names and taking photos of my arms without my permission. It happened once near the parade square and again during a PE lesson. They shared the photos in a big class group chat with disgusting captions. After that, I stopped wanting to do anything. I don't eat much anymore, I stopped going for CCA, and some days I feel so hopeless I just lie in bed and think about whether life is even worth living."/>
    <x v="2"/>
  </r>
  <r>
    <x v="4"/>
    <s v="Dexter has cornered me in the school toilet twice. Both times he grabbed me by the collar and threatened me with a penknife, saying he'd hurt me if I told any of the teachers what he's been doing. I was so scared I couldn't move. I still think about it now during CCA and I try to avoid going to the toilet alone."/>
    <x v="2"/>
  </r>
  <r>
    <x v="4"/>
    <s v="Desmond has threatened me twice near the school gate. The first time, he got in my face and said he would disfigure my face after school if I didn't stop hanging out with his girlfriend. The second time was a few weeks later — he came with two friends and told me he knew where I lived. I am scared of what he will actually do to me."/>
    <x v="3"/>
  </r>
  <r>
    <x v="4"/>
    <s v="Luke has pushed me down the stairs twice this semester. The first time I twisted my ankle and limped for a few days. He said it was an accident but he was laughing. The second time happened after assembly — he shoved me from behind while I was walking down to the canteen and my elbow got scraped. I feel scared every time I'm near a staircase now."/>
    <x v="2"/>
  </r>
  <r>
    <x v="4"/>
    <s v="There is a group of boys in my class who have made very vulgar sexual comments about my body twice — once during a PE lesson when I was in my PE shirt, and again during a class party. They rated my body out loud and made disgusting jokes. Other classmates laughed along. I felt so embarrassed I wanted to disappear. I've started wearing a jacket even during PE so they won't look at me."/>
    <x v="3"/>
  </r>
  <r>
    <x v="4"/>
    <s v="I know that Jason created a fake profile using my school photo and posted embarrassing things pretending to be me. It happened once near the start of the year, and then again after the June holidays with a new account. Both times they wrote things about me that were completely made up and very humiliating. My friends told me about it but by the time I found out, many people had already seen it."/>
    <x v="3"/>
  </r>
  <r>
    <x v="4"/>
    <s v="Fiona has sent me threatening voice messages on WhatsApp a few times, saying she will get her cousin to &quot;whack&quot; me if I don't stop talking to her boyfriend. The first message came out of nowhere. Then it happened again last month after I bumped into her boyfriend at the library. I've screenshotted everything but I don't know who to show it to. I feel very unsafe."/>
    <x v="3"/>
  </r>
  <r>
    <x v="4"/>
    <s v="Marcus and Ethan, have hit me on the head with their files or books a few times — they call it &quot;just playing.&quot; It doesn't leave bruises but it really hurts and I hate it. When I tell them to stop they just laugh and say I'm too sensitive."/>
    <x v="3"/>
  </r>
  <r>
    <x v="4"/>
    <s v="Hao Ran, has made very explicit sexual remarks to me twice in person — once at the vending machine area and once while I was waiting for the bus outside school. He described sexual acts in detail in a loud voice so his friends could hear, then laughed it off when I looked uncomfortable. I didn't say anything because I didn't want to make it worse. His friends took videos and I don't know if they shared it anywhere."/>
    <x v="3"/>
  </r>
  <r>
    <x v="4"/>
    <s v="Sheryl secretly took unflattering photos of me eating in the canteen and posted them to her Instagram story with mean captions mocking my weight. She did it once during recess, and then again a few weeks later. Each time the post was only up for 24 hours but many people in school saw it before it disappeared. I've started eating in the toilet so no one can take photos of me."/>
    <x v="3"/>
  </r>
  <r>
    <x v="4"/>
    <s v="Reuben has cornered me alone in the classroom twice and threatened to beat me up after school. The first time he grabbed my collar and got very close to my face. The second time he shoved me against the whiteboard and said &quot;next time I won't stop.&quot; I really dread being alone in the classroom and I always make sure to leave with someone now"/>
    <x v="3"/>
  </r>
  <r>
    <x v="4"/>
    <s v="Some boys from another class have flicked rubber bands at my face a few times during school. The first time, it hit my eye and it was red for hours. It happened again during a combined class session. They aim for the face on purpose and think it's funny. "/>
    <x v="3"/>
  </r>
  <r>
    <x v="4"/>
    <s v="Jonathan has sent me sexual messages on Instagram DM twice now. The first time he sent explicit texts describing what he wanted to do to me. I blocked him immediately. Then he made a new account and did the same thing again a few weeks later. I feel disgusted and violated and I'm also scared because he sits just two rows away from me in class."/>
    <x v="3"/>
  </r>
  <r>
    <x v="4"/>
    <s v="Someone edited a photo of my face onto an indecent image and sent it around a class group chat — it happened once before the holidays and again last month. I don't know who made it but I suspect it's a few boys who always stare and snicker at me. Everyone tells me to just ignore it but it is really affecting me"/>
    <x v="3"/>
  </r>
  <r>
    <x v="4"/>
    <s v="Glendon has twisted my arm behind my back as a &quot;punishment&quot; twice when he felt I wasn't performing well during training. Both times it hurt a lot and left my shoulder sore for days. He says it builds discipline and the other seniors just watch. I don't want to quit CCA because it will affect my DSA, but I dread training sessions now and I wince whenever he walks past me."/>
    <x v="3"/>
  </r>
  <r>
    <x v="4"/>
    <s v="During two separate group project meetings after school, Terrence kept making sexual jokes directed at me and commenting on my appearance in a very inappropriate way. When I told him to stop, he said I was being uptight and that he was just complimenting me. The other group members stayed quiet. I've been dreading group work ever since and I try to avoid being alone in a room with him."/>
    <x v="3"/>
  </r>
  <r>
    <x v="4"/>
    <s v="Yuling has threatened me on two separate occasions — once face-to-face in the toilet, and once over Telegram — saying she would get people to &quot;sort me out&quot; if I didn't stop being friends with someone she doesn't like. She's very popular in school and I'm scared that if I tell a teacher she'll make things much worse. I've been walking on eggshells around her for months."/>
    <x v="3"/>
  </r>
  <r>
    <x v="4"/>
    <s v="A few classmates have poured water or drinks on my belongings twice — once on my bag and once on my notes just before an exam. They pretended it was an accident both times. The first time my assessment book got soaked and I had to redo my work. They laughed when I tried to dry everything. I feel very targeted but because they always say it's an accident, I don't know how to prove anything."/>
    <x v="4"/>
  </r>
  <r>
    <x v="4"/>
    <s v="Jenson and Ray have wolf-whistled and shouted vulgar things at me from across the canteen on a few separate occasions. Once they yelled something sexual when I walked past during recess, and it happened again when I was with my friends near the hall. Both times I felt my face go hot and I didn't know where to look. My friends said to just ignore them but I feel humiliated every time I have to walk past that group. I think they are doing it to other girls also "/>
    <x v="3"/>
  </r>
  <r>
    <x v="4"/>
    <s v="Derrick found an old embarrassing photo of me from primary school and threatened to post it in the class group chat unless I let him copy my homework. It happened once before the mid-year exams, and again a few weeks later before a major test. Both times I gave in because I didn't want everyone to see the photo. I feel very frustrated and I don't know how to make him stop."/>
    <x v="4"/>
  </r>
  <r>
    <x v="4"/>
    <s v="Ben has asked me for money twice near the tuckshop. The first time he said it was a loan but I knew it wasn't. The second time, a few months later, he came with a friend and said I owed him from before. I gave him whatever I had in my wallet both times. I end up skipping lunch on those days. I haven't told my parents because I'm embarrassed and scared he'll find out."/>
    <x v="4"/>
  </r>
  <r>
    <x v="4"/>
    <s v="Whenever we have group meetings, Shaun deliberately stands very close to me and speaks over me whenever I try to talk, staring me down until I go quiet. It happened during our English presentation and again during a Science group discussion. The way he looks at me makes me feel very small and i hate it. I've stopped trying to contribute in group work because of him"/>
    <x v="4"/>
  </r>
  <r>
    <x v="4"/>
    <s v="Jessica and Glenda have taken my pencil case and thrown its contents into the bin twice now. The first time they threw away my new ruler and correction tape. The second time they scribbled all over my notes before tossing everything out. They said it was just a joke. I had to buy replacement stationery myself and I didn't want to tell my mum why. "/>
    <x v="4"/>
  </r>
  <r>
    <x v="4"/>
    <s v="My friend group has deliberately left me out a few times. Once they planned a class chalet and didn't tell me until after — I only found out because I saw the photos on Instagram. Then during a group outing after the exams, the same thing happened. When I asked why I wasn't invited, they said the group was &quot;full.&quot; I sit with them every day in school and they act normal, so it's very confusing and hurtful."/>
    <x v="4"/>
  </r>
  <r>
    <x v="4"/>
    <s v="Pearlyn knows about something I did and used it against me twice so far. The first time she made me do her part of a group project or she'd tell the teacher. A few months later she said the same thing to get me to cover for her when she skipped class. I just want it to stop."/>
    <x v="4"/>
  </r>
  <r>
    <x v="4"/>
    <s v="Hafiq has asked me to transfer him money on PayLah a few times, saying he'll &quot;tell everyone my secret&quot; if I don't. The first time I transferred $10 just to make him stop. It happened again last month when he asked for $15. I don't even know what secret he's referring to — I think he's just bluffing — but I'm too scared to call his bluff. I feel stupid for giving in and I don't know what to do."/>
    <x v="4"/>
  </r>
  <r>
    <x v="4"/>
    <s v="Sometimes I will realise that my bag has missing or damaged things. The first time my water bottle was gone and I found it later in the toilet bowl. The second time someone had slashed my pencil case with a penknife. I'm pretty sure it's Jane and Jack but I can't prove it. My mum asked why I keep losing things and I didn't know what to say. I feel very unsafe leaving my bag unattended even for a minute."/>
    <x v="4"/>
  </r>
  <r>
    <x v="4"/>
    <s v="A few times this year, my classmates have organised group study sessions at Bishan library and deliberately not told me. I only found out when I saw them all leaving school together. When I confronted them, one girl said it was a &quot;private thing&quot; even though almost the whole class was there. It happened again before the prelims. I've been trying to study alone since then but I feel very left out and it's affecting my focus."/>
    <x v="4"/>
  </r>
  <r>
    <x v="4"/>
    <s v="Zac has sent me threatening messages on Discord twice, saying he'll spread rumours about me to everyone in school if I don't stop &quot;acting like I'm better than him.&quot; The first time I ignored it. The second time the message was more specific — he named my friends and said he'd tell them things about me. I don't even know what he'd say because I haven't done anything wrong. I feel very unsettled and I've been avoiding him in school."/>
    <x v="4"/>
  </r>
  <r>
    <x v="4"/>
    <s v="Wanying, has humiliated me in front of the whole CCA twice by singling me out during training and shouting at me in a very degrading way — telling me I'm useless and that I shouldn't have joined. Both times I had to hold back tears in front of everyone. The other members just looked away. I dread CCA sessions now and I've been thinking of finding an excuse to quit even though I actually enjoy the activity."/>
    <x v="4"/>
  </r>
  <r>
    <x v="4"/>
    <s v="Someone has written vulgar words on my textbooks a few times this year — I only noticed when I opened them in class. The first time it was on my English textbook, the second time on my Maths file. Everyone could see it when I was doing classwork. I'm pretty sure it's a few boys who sit behind me who think its funny but I have no proof. I feel very embarrassed and I've started covering my books so no one can see the writing."/>
    <x v="4"/>
  </r>
  <r>
    <x v="4"/>
    <s v="Mindy has asked to &quot;borrow&quot; money from me twice but she never returns me the money. The first time it was $5 for bubble tea. The second time it was $12 and she got her friends to stand around me while she asked. I felt pressured and gave it to her. When I tried to ask for it back the next day she pretended not to know what I was talking about and her friends laughed."/>
    <x v="4"/>
  </r>
  <r>
    <x v="4"/>
    <s v="My classmates have removed me twice from group chats — once from the main class group, and once from a project group chat — without any explanation. Both times I only found out when I couldn't see messages others were referring to in class. When I asked to be added back, people made excuses or ignored me. I had to find out information about class events through others. It made me feel very invisible and like I don't belong in my own class."/>
    <x v="4"/>
  </r>
  <r>
    <x v="4"/>
    <s v="Kenneth knows I like someone in school and has threatened twice to tell that person if I don't do what he says. The first time he made me buy him food from the canteen for a whole week. A few months later, he came back and said he'd tell my crush unless I helped him with his assignment. I feel very embarrassed and manipulated. I've started avoiding the person I like just so there's nothing for Kenneth to use against me."/>
    <x v="4"/>
  </r>
  <r>
    <x v="4"/>
    <s v="Royston has made a point of laughing loudly at everything I say in class on a few occasions — the moment I speak, he would whisper to the person next to him and they'd both snicker. It happened during an oral presentation and again during a class discussion. I've started speaking much less in class because I'm scared of being laughed at again. My grades for class participation have dropped."/>
    <x v="4"/>
  </r>
  <r>
    <x v="4"/>
    <s v="My school shoes have been hidden or damaged twice this year during PE. The first time someone hid one shoe so I had to limp around looking for it and was late back to class. The second time, both shoes were left in a puddle and were soaking wet for the rest of the day. I had to walk around in wet shoes and everyone noticed. I now carry my shoes with me everywhere during PE, which is very inconvenient."/>
    <x v="4"/>
  </r>
  <r>
    <x v="4"/>
    <s v="Some boys in my class have called me &quot;four-eyes&quot; and &quot;nerd&quot; a few times because I wear glasses and do well in school. It happened once during recess when I was reading, and again during a free period when the teacher was out. They said it loudly enough for others to hear and a few people laughed."/>
    <x v="1"/>
  </r>
  <r>
    <x v="4"/>
    <s v="Joanna has teased me a few times about the way I speak — I have a slight stutter and she mimics it in front of others. People around her will giggle when this happens. Now I dread speaking up in class because I'm scared it'll happen again."/>
    <x v="1"/>
  </r>
  <r>
    <x v="4"/>
    <s v="Beilin has told everyone a few times that I had copied someone's homework, which is not true.  They will then whisper and give me odd looks. I feel frustrated that she keeps making things up about me."/>
    <x v="1"/>
  </r>
  <r>
    <x v="4"/>
    <s v="Aloysius and Daryl, have hidden my water bottle twice as a prank. The first time I spent the whole recess looking for it and only found it on top of the lockers after they told me where it was. The second time they hid it inside someone else's bag. They laughed and said it was just for fun, and I did get it back both times, but I don't find it funny at all."/>
    <x v="1"/>
  </r>
  <r>
    <x v="4"/>
    <s v="Whenever I share an idea during group work, Raymond dismisses it immediately and says things like &quot;that's a stupid idea&quot; or &quot;why would anyone think that.&quot; It has happened a few times across different projects. The rest of the group usually just goes along with him."/>
    <x v="1"/>
  </r>
  <r>
    <x v="4"/>
    <s v="My classmates have excluded me from choosing groups a few times during PE. Whenever the teacher says to form groups, everyone quickly pairs up and leaves me standing alone, so I always end up in the leftover group. It happened at the start of the year and again last month. "/>
    <x v="1"/>
  </r>
  <r>
    <x v="4"/>
    <s v="A few people in my class have called me &quot;cheena&quot; and made fun of the fact that I speak Mandarin at home, saying I'm &quot;not cool&quot; because of it. It happened once when I accidentally spoke Mandarin in front of the group, and again when I brought home-cooked Chinese food for recess. Both times I felt ashamed of something I shouldn't be ashamed of. I've started speaking only English at school and packing western food so no one will tease me."/>
    <x v="1"/>
  </r>
  <r>
    <x v="4"/>
    <s v="Zen and her squad have teased me a couple of times about my height since I'm shorter than most people in class and they make jokes like &quot;need a ladder?&quot; when I reach for something. It happened during a PE warm-up and once during a class photo. They seem to think it's harmless but I feel very self-conscious about my height already and the comments make it worse. I try to laugh it off but I go home feeling bad about myself."/>
    <x v="1"/>
  </r>
  <r>
    <x v="4"/>
    <s v="Terrence told people twice that I like a girl in class who I am actually just friends with. The first time he said it loudly during recess and a few people teased me about it. The second time he brought it up again in a group chat. It's not true and it made things very awkward between me and my friend."/>
    <x v="1"/>
  </r>
  <r>
    <x v="4"/>
    <s v="Melissa has made comments about my appearance twice — once saying my school uniform looked &quot;sloppy&quot; in front of others, and another time saying my haircut looked &quot;like a auntie cut it.&quot; Both times she said it casually, like she was just stating a fact. Other people around her will laugh at me when she says that. I feel abit insecure about how I look now."/>
    <x v="1"/>
  </r>
  <r>
    <x v="4"/>
    <s v="My classmates have teased me a couple of times about my lunchbox — my mum packs me Indian food and a few of them have made comments about the smell and said things like &quot;wah so smelly.&quot; It happened once in the canteen and again during a class party when I brought food from home. I felt very embarrassed and also sad because my mum puts effort into cooking for me. I've asked her to just give me canteen money instead."/>
    <x v="1"/>
  </r>
  <r>
    <x v="4"/>
    <s v="My class has a tradition of celebrating birthdays together during recess. My birthday was skipped twice — once last year and once this year — even though everyone else's was celebrated. When I asked a friend about it, she said they just forgot. But I noticed they remembered everyone else's, including people who joined the class after me."/>
    <x v="1"/>
  </r>
  <r>
    <x v="4"/>
    <s v="Junhao has teased me a couple of times about my family's old car — he saw my parents drop me off and made jokes about it to the group, saying things like &quot;wah, what year is that car from.&quot; It happened once at the school gate and again when my parents came for a school event. I felt embarrassed on behalf of my parents even though they work very hard. "/>
    <x v="1"/>
  </r>
  <r>
    <x v="1"/>
    <s v="Every week since the start of the year, Ethan and his friends will corner me and start punching me in the stomach and kicking my legs. Last Tuesday they hit me so hard I could not stand up properly and my left knee was swollen by the time I got home. There was bad bruising. They have done this so many times already and each time it gets worse."/>
    <x v="2"/>
  </r>
  <r>
    <x v="1"/>
    <s v="I have seen Ethan and his group go after Darren behind the canteen so many times already, like every week this whole year. Last Tuesday I was walking past and I saw them shoving him against the wall and punching him repeatedly. Darren was bent over and he could not even walk straight after."/>
    <x v="2"/>
  </r>
  <r>
    <x v="1"/>
    <s v="Darren always gets targeted by the same group of boys near the back of the canteen every Monday this year. Last week I saw them kick him in the leg area multiple times. He fell against the wall and his face looked like he was in a lot of pain. I have seen bruises on his arms before during PE and I think it is because of them."/>
    <x v="2"/>
  </r>
  <r>
    <x v="1"/>
    <s v="Roslan and Danial keep threatening me with a penknife after school near the bus stop. It has happened so many times, like every week they will be waiting for me there. They flash the knife at me and tell me to give them my money or they will cut me. Last Thursday one of them actually pressed the blade against my arm and left a small cut. I was bleeding and I had to use my school shirt to cover it. I am terrified every single day when school ends."/>
    <x v="2"/>
  </r>
  <r>
    <x v="1"/>
    <s v="I take the same bus as Haziq and I have seen Roslan and Danial surrounding him near the bus stop many times already. Last Thursday I was standing not far away and I could clearly see one of them holding something shiny. He pressed it against Haziq's arm and I saw Haziq wince and then quickly cover his arm with his sleeve. There was a small dark patch on his sleeve that looked like blood. This has been happening week after week every Thursday for so long."/>
    <x v="2"/>
  </r>
  <r>
    <x v="1"/>
    <s v="I walk past the bus stop every Thursday and I always see the same 2 guys surrounding Haziq. It always looks very threatening. Last Thursday was the worst I have seen. One of them had what looked like a penknife and he was holding it close to Haziq's arm. Haziq looked completely frozen and scared. I could see he was trying not to cry. "/>
    <x v="2"/>
  </r>
  <r>
    <x v="1"/>
    <s v="Chloe and Mei Ling keep sending me messages every day telling me to go and die or to cut myself. They spam me on Telegram with things like &quot;nobody wants you here&quot; and &quot;just end it already.&quot; They also post-edited photos of me on a class group chat making me look ugly and writing horrible things about me. Last night they sent me a long voice message from a fake account saying the whole class hates me and I should just disappear. I have been crying every night and I keep thinking about what they said."/>
    <x v="2"/>
  </r>
  <r>
    <x v="1"/>
    <s v="I am in the same class as Rachel and I have seen the messages they keep sending her in the group chat so many times already it's getting sian. Again and again they photoshop pictures of her with really horrible captions. Last night someone from a fake account sent a voice message in the group that said the whole class wanted her gone."/>
    <x v="2"/>
  </r>
  <r>
    <x v="1"/>
    <s v="Rachel showed me some of the private messages she has been getting on Telegram. They keep telling her to hurt herself and that no one cares if she disappears. It is not just once, she told me she lost count how many times already this year. Last night she called me crying because of a voice message someone sent her from a fake account. I have also seen what gets posted in the class group chat and it is really bad. She looks more and more withdrawn every day at school."/>
    <x v="2"/>
  </r>
  <r>
    <x v="1"/>
    <s v="Gopal and Hamzah keep doing this to me in the corridor near the staircase after school. They have done it way too many times already this year. They will block my way and grab me, touching me inappropriately even when I tell them to stop and push them away. Last week they also filmed it on a phone and I could see them laughing. I feel so disgusted and scared every time school ends. I am scared of going near them. My hands were shaking the whole bus ride home last Wednesday and I could not stop shaking even when I got back."/>
    <x v="2"/>
  </r>
  <r>
    <x v="1"/>
    <s v="Damn gross this Gopal and Hamzah keep cornering Amirah near the back staircase many times. It always happens after school. Last Wednesday I walked past and saw one of them grabbing her skirt while the other one held up a phone. Amirah was struggling and telling them to stop but they were laughing. I could tell from her face that she was really distressed. This is not the first time I have seen something like this happen to her. It keeps happening and each time it looks worse."/>
    <x v="2"/>
  </r>
  <r>
    <x v="1"/>
    <s v="I was walking to the staircase last Wednesday when I saw Gopal and Hamzah blocking Amirah's path. One of them was grabbing her skirt and she was clearly trying to push him away. The other one had his phone out and looked like he was recording. Amirah's face was red and she looked like she was about to cry. I have seen them bother her in that same spot many times before. The fact that they are now filming it makes it so much worse. This has been going on for the entire term..."/>
    <x v="2"/>
  </r>
  <r>
    <x v="1"/>
    <s v="Since last year, someone from my school created a fake Instagram account using my photos and posted my full name, home address, number and class, and my social media for everyone to see. They have been updating it constantly with new information about me, like what time I leave school, which bus I take, and even photos of me taken without my permission while I am on the bus or walking home. Every single day I get messages from strangers on my personal account saying disgusting things because of what that page is posting about me. My friends told me the account has been shared into multiple group chats and the follower count keeps going up. I am scared to leave the house alone now. "/>
    <x v="2"/>
  </r>
  <r>
    <x v="1"/>
    <s v="I was in one of the group chats where the fake account link was first shared. Since then it has been all the time, like every few days there will be a new update on the page with new photos of Valerie taken around the school area or on public transport. Someone is clearly following her and photographing her without her knowing. The account posts her personal details constantly and I have seen people commenting and sharing it further. It has spread to so many group chats already. I feel very scared for her because whoever is doing this clearly knows her daily routine inside out."/>
    <x v="2"/>
  </r>
  <r>
    <x v="1"/>
    <s v="I sit near Valerie in class and I can tell she has been very affected by this for months already. The fake account is something a lot of people in school know about because it has been circulating non-stop in various Telegram and Instagram group chats since last year. Every day there seems to be a new post, sometimes it is a photo of her taken from behind while she is walking, sometimes it is updates on where she is. I have seen some of the messages strangers send her and they are very threatening and vulgar. This has been going on for so long and it is clear that whoever is behind it is physically following her in real life as well."/>
    <x v="2"/>
  </r>
  <r>
    <x v="1"/>
    <s v="I have been watching this situation go on for months and it has been constant. The account posts about Valerie almost every day and the things they share are very specific, like the exact time she boards the bus and which seat she usually sits at. That means someone is physically watching and following her all the time. Her home address has been pinned on the account for months and even though people have reported it the account keeps coming back. I have seen the comments on the posts and some of them are really alarming threats from people she does not even know. Valerie looks exhausted and frightened every day at school and I completely understand why because this has genuinely not stopped at all since last year."/>
    <x v="2"/>
  </r>
  <r>
    <x v="1"/>
    <s v="I don't even know how they got the photos. They were just normal pictures I sent to who I thought was a friend in a private chat, like me at home in my pyjamas, me having a bad skin day, me venting and crying after a bad exam. Since last year, someone has been screenshotting everything and sharing them in class group chats and even to people from other schools. Every day I wake up and check my phone and there are new places the photos have shown up. Someone made a fake Instagram account using my photos and has been posting them with horrible captions and tagging my classmates."/>
    <x v="3"/>
  </r>
  <r>
    <x v="1"/>
    <s v="Since last year, someone in our cohort has been sharing Mei Ling's private photos around. Like not anything inappropriate but personal stuff, like her crying or looking really bad on a rough day, the kind of photos you only send to someone you trust. Every few weeks a new batch appears in some chat and people start passing it around and laughing. I keep seeing these photos being forwarded into random group chats I am in. Someone also made a fake Instagram account of her and it keeps coming back every time it gets reported. The creepy part is whoever is running the account always seems to know when Mei Ling posts something new"/>
    <x v="3"/>
  </r>
  <r>
    <x v="1"/>
    <s v="It has been going on for months and it is honestly very disturbing to watch. Every time Mei Ling posts something online, within like minutes there will be comments from some unknown account and everyone in class kind of knows what is happening but nobody knows exactly who is behind it. The fake accounts keep coming back and whoever runs them clearly spends a lot of time tracking her because they always manage to find her new accounts too. People keep forwarding her private photos in chats as a joke but I don't think it is funny at all. I see Mei Ling in class every day and she looks really tired and stressed all the time. She used to be quite cheerful but now she barely looks at her phone"/>
    <x v="3"/>
  </r>
  <r>
    <x v="1"/>
    <s v="My friend added me to this group chat a few months back and that was the first time I saw Mei Ling's private photos being shared around. I didn't really know her then but I started noticing that this kept happening again and again, like every few weeks new photos of her would pop up somewhere. Then someone showed me this fake Instagram account made using her pictures and the captions were really mean. It has been going on for so long and whoever is doing it is clearly very obsessed with making her life miserable."/>
    <x v="3"/>
  </r>
  <r>
    <x v="1"/>
    <s v="I saw Darren and his friends break a window in school last month. Since then, every day after school Darren and his friends will wait for me near the gate and tell me things like &quot;you better not tell anyone or you'll regret it&quot; and &quot;we know where you live.&quot; This has been going on since last year and I am scared to even walk home alone now. They will stand very close to me and whisper these things so the teachers cannot hear. Sometimes they will follow me part of the way home just to scare me."/>
    <x v="4"/>
  </r>
  <r>
    <x v="1"/>
    <s v="I always see Darren and his group surrounding Kai Xuan near the school gate after school. They will stand very close to him and say things in a low voice. Kai Xuan always looks very pale and stiff, like he is scared to even move. This happens basically every single day. Once I walked past and I could hear Darren saying something like &quot;don't try to be funny.&quot; I just walked faster because I also scared they will target me."/>
    <x v="4"/>
  </r>
  <r>
    <x v="1"/>
    <s v="I have seen this so many times already, practically every afternoon. Darren and his friends will corner Kai Xuan and talk very close to his face. Kai Xuan never fights back, he just looks down and nods. One time I saw him almost tearing up when he finally walked away. It has been going on for damn long, almost 2 months already. I feel bad seeing it but I also do not know what to do."/>
    <x v="4"/>
  </r>
  <r>
    <x v="1"/>
    <s v="Every day during recess and group work, my classmates will act like I am invisible. If I try to sit with them they will shift their chairs together or suddenly say the seat is reserved. This has been happening non-stop since the start of the year. During PE they will always make sure I am the last pick and then complain loudly about having me in their group. In the group chat they will make plans and leave me out, and if I ask what is happening they will just leave me on read or reply with one word. I feel so alone every single day in school."/>
    <x v="4"/>
  </r>
  <r>
    <x v="1"/>
    <s v="I sit next to Nurul Izzah in class and I can see every day how the others treat her. During group discussions they will just not look at her or include her in the conversation at all. One time she tried to contribute an idea and nobody responded, they just continued talking over her. This happens all the time, like it is already a normal thing for them. I can see she is affected because she has stopped trying to talk to them."/>
    <x v="4"/>
  </r>
  <r>
    <x v="1"/>
    <s v="The whole class basically ignores Nurul Izzah on purpose. During recess I see her sitting alone almost every day because whenever she approaches a table, people will suddenly say the seats are taken or they will move away. It is very obvious it is not a coincidence because it happens constantly. I have also seen the class group chat where people will plan things and deliberately not add her. She must feel very terrible because this has been going on for months already."/>
    <x v="4"/>
  </r>
  <r>
    <x v="1"/>
    <s v="Almost every day I will find something missing from my bag or my desk. My stationery, my EZ Link card, my snacks, my earphones, all have gone missing at different times. This has been happening non-stop for months. I know it is Marcus and his friends because one time I saw Marcus using my ruler and when I said it was mine he just laughed and said I was lying. When I go to the toilet or step out of class, I always come back to find things rearranged or gone. I have had to spend so much of my own pocket money replacing things."/>
    <x v="4"/>
  </r>
  <r>
    <x v="1"/>
    <s v="I have seen Marcus and his friends go through Boon Kiat's bag many times when Boon Kiat is not around. They will take things out, laugh among themselves, and either keep it or throw it somewhere. One time I saw them take his EZ Link card and pass it around like it was a game. This happens all the time, almost every day. Boon Kiat always comes back looking confused and stressed when he realises his stuff is gone again."/>
    <x v="4"/>
  </r>
  <r>
    <x v="1"/>
    <s v="It is very obvious to me that Boon Kiat's things keep going missing because of Marcus's group. I have seen them hovering around his desk when he is not there multiple times. Once they took his water bottle and hid it in the storeroom and spent the whole day laughing about it. Boon Kiat had to go thirsty the whole day. This kind of thing happens constantly, but he really seems helpless about it."/>
    <x v="4"/>
  </r>
  <r>
    <x v="1"/>
    <s v="Since last year, people in my school have been spreading rumours about me online non-stop. There is a Telegram group I am not part of where they post fake stories and screenshots taken out of context about me. My friends told me about it and showed me some of the messages. They say I am a backstabber and that I do shameful things, all of which are completely not true. Every day there seems to be something new. People I do not even know personally will give me weird looks in the corridor or unfollow me on Instagram."/>
    <x v="4"/>
  </r>
  <r>
    <x v="1"/>
    <s v="I am in the Telegram group where people keep posting things about Hui Ling. Everyday almost got new messages, either a fake story or a screenshot being shared and exaggerated. The people running it are Hannah and her clique. They will post things like &quot;did you know Hui Ling did this&quot; and everyone in the group will just laugh and add on. It has been going on since last year. "/>
    <x v="4"/>
  </r>
  <r>
    <x v="1"/>
    <s v="My classmates were showing me this Telegram group the other day and I was shocked because there is so much stuff about Hui Ling in there. The messages go back really far, like months and months of people posting gossip and made up stories about her. People are tagging their friends and laughing in the comments. Hannah seems to be the one who keeps posting new things to keep it going. I can tell it is affecting Hui Ling because she seems very withdrawn lately and I heard she deleted her Instagram."/>
    <x v="4"/>
  </r>
  <r>
    <x v="1"/>
    <s v="Every day at school, Amanda and Lisa keep calling me &quot;Bushy Brows&quot; because of how my eyebrows look. It has been going on since last year and I am so tired of it. Every single morning when I walk into class they will start giggling and whispering. Sometimes they say it loud enough for the whole class to hear, like &quot;watch out, bushy brows is here.&quot; I just pretend I cannot hear but honestly it is damn annoying. It happens all the time, every day without fail."/>
    <x v="1"/>
  </r>
  <r>
    <x v="1"/>
    <s v="Every day in class, my friends Lisa and Amanda keep calling Amirah &quot;Bushy Brows&quot; right to her face or loudly enough so she can hear. It has been going on since last year, non-stop. This morning it happened again when she walked in and they all started laughing. Amirah just looked down and went to her seat."/>
    <x v="1"/>
  </r>
  <r>
    <x v="1"/>
    <s v="I sit two rows behind Amirah and every day without fail the same girls Amanda and Lisa will start making comments about her eyebrows the moment she walks in. They think it is funny but it is literally the same joke every single day since last year. This morning they did it again and the whole class heard."/>
    <x v="1"/>
  </r>
  <r>
    <x v="1"/>
    <s v="My class has a group chat and every day my classmates keep posting memes and screenshots making fun of me. It has been going on all this time, non-stop since the start of the year. They roast me about my voice, saying it sounds like a dying cat, and they keep tagging me in the posts so I cannot ignore it. Last night they posted another one of those memes and everyone was reacting with laughing emojis. When I mute the chat I still see the notifications piling up. It is every day, even on weekends."/>
    <x v="1"/>
  </r>
  <r>
    <x v="1"/>
    <s v="The class chat has been roasting Kelvin about his voice non-stop since the start of the year. Every day there will be some new meme or voice clip someone edited to make him sound worse. Last night someone posted another one and everyone was going crazy in the chat with laughing emojis. Kelvin was tagged directly so he definitely saw it. It happens literally all the time, even during the holidays they kept going."/>
    <x v="1"/>
  </r>
  <r>
    <x v="1"/>
    <s v="every single day someone will post something mocking Kelvin, mostly about his voice. It has been constant since the beginning of this year. Just last night it happened again and even people who do not usually join in were reacting to the posts. I just leave the chat on mute because it makes me uncomfortable but it is genuinely every day without fail."/>
    <x v="1"/>
  </r>
  <r>
    <x v="1"/>
    <s v="Every day during recess my classmates just walk off without me. It has been like this for months now. We used to all go to the canteen together but one day they just stopped including me and it has been non-stop since then. I will be packing up my bag and by the time I look up everyone is already gone. Sometimes I hear them planning where to go right in front of me and nobody says anything to me. I have been eating alone at the corner table every single day."/>
    <x v="1"/>
  </r>
  <r>
    <x v="1"/>
    <s v="Every day during recess the whole group just walks off and leaves Linda behind. It has been going on for months already. I noticed it today again when we were all leaving class and she was right there but nobody said anything to her."/>
    <x v="1"/>
  </r>
  <r>
    <x v="1"/>
    <s v="Hui Ling just gets left behind everyday these few weeks during recess without anyone telling her where we are going. Today it happened again, we were all walking out together and she was right there and nobody even looked at her. I felt really bad but I did not say anything either because I did not want to be the one to make it awkward."/>
    <x v="1"/>
  </r>
  <r>
    <x v="1"/>
    <s v="Since last year, people in school keep spreading gossip that I like this girl in 3B and they keep exaggerating the story and adding new details. Now the version going around is that I apparently wrote her a love letter and got rejected super badly and cried. That never happened. But every day someone new finds out and comes to tease me about it or bring it up. "/>
    <x v="1"/>
  </r>
  <r>
    <x v="1"/>
    <s v="There has been this rumour going around about Reuben since last year. It keeps getting passed around all the time and the story keeps changing and getting more and more exaggerated. I heard it again today during PE when some guys from 3B came over and started teasing him about it. Reuben looked super embarrassed"/>
    <x v="1"/>
  </r>
  <r>
    <x v="1"/>
    <s v="The gossip about Reuben has been going around school constantly since last year. I keep hearing different versions of it and every time someone new brings it up the story sounds more dramatic. Today during recess Viknesh was talking about it again and laughing. Reuben was nearby and I think he heard them"/>
    <x v="1"/>
  </r>
  <r>
    <x v="4"/>
    <s v="Marcus, Adrian, Ben, and Shawn disturb me sometimes. They make comments about my weight and occasionally throw things at me. This has happened a few times, including last time when I was alone after class streaming. Previously, when my friends were around, we brushed it off. After being separated, I had to handle it myself. The incidents still happen once in a while. I noticed they are mainly trying to get a reaction from me rather than seriously harm me. The behaviour feels like intimidation and social pressure, especially when I am alone."/>
    <x v="4"/>
  </r>
  <r>
    <x v="4"/>
    <s v="I saw Jason being disturbed by Marcus, Adrian, Ben, and Shawn a few times. They make comments about his weight and sometimes throw things at him. After streaming, Jason is more often alone, and the incidents continue once in a while. The behaviour appears to be intimidation and mild harassment rather than serious physical harm."/>
    <x v="4"/>
  </r>
  <r>
    <x v="4"/>
    <s v=" Zaki, Hafiz, Joel, and Amir disturb me once in a while. They pass comments about my weight and sometimes throw things at me. This happened a few times previously when I was with my friends, and we ignored it._x000a__x000a_After streaming, I am separated from my friends and face these situations alone. The behaviour still occurs sometimes, and I need to manage it myself._x000a__x000a_From my observation, they are trying to provoke a reaction and create embarrassment rather than cause serious harm. The behaviour is mainly intimidation and targeting."/>
    <x v="4"/>
  </r>
  <r>
    <x v="4"/>
    <s v="Zaki, Hafiz, Joel, and Amir disturb me sometimes. They make remarks about my weight and, on a few occasions, throw things at me. When I was still with my friends, we ignored it and treated it as nothing serious. After streaming, I am separated from them, and I now face these situations alone. The same behaviour continues once in a while. I have noticed that they are mainly looking for a reaction and using me as an easy target when I am alone. It feels like social pressure and intimidation rather than serious harm."/>
    <x v="4"/>
  </r>
  <r>
    <x v="4"/>
    <s v="Wei Jun, Jun Kai, and Marcus in my table group have started tearing my textbooks again this week. It already happened before, and I thought it was a one-time thing, but they repeated the same behaviour. I am the only non-Chinese in the group, and I also have a strong foreign accent and issues with my weight, which may be why they keep targeting me. When it happens, I do not react and just sit there while my things get damaged. They make me feel hopeless and discouraged, especially since it involves my personal belongings being destroyed again."/>
    <x v="4"/>
  </r>
  <r>
    <x v="4"/>
    <s v="Dylan Koh has disturbed me a few times in school. He made vulgar comments about me in front of the class, which caused embarrassment. On another occasion, during a basketball session, he pushed me, and I needed help from classmates. It has also happened before where he shared my Instagram photo to make fun of my appearance, and others laughed at it. These happens once in a while."/>
    <x v="4"/>
  </r>
  <r>
    <x v="2"/>
    <s v="Every week during HCL lessons and we swap classes, this group of classmates keeps calling me names like “siao one” and “useless” whenever I answer questions. It's not like I'm trying to be the teacher's pet but I just want to learn, but they keep snickering at me and calling me names for trying my best in class. "/>
    <x v="1"/>
  </r>
  <r>
    <x v="2"/>
    <s v="During group work, I get left out on purpose sometimes by my classmates like they will form groups quickly and say they “no space already” even before I ask. Sometimes they sit together and ignore me completely while discussing. Then in the end the teachers usually have to manually assign me to a random group that clearly doesn't want me. It's so embarassing omg. "/>
    <x v="1"/>
  </r>
  <r>
    <x v="2"/>
    <s v="In our class group chat, a few classmates keep sending messages making fun of me like “dumb shit” or reacting with laughing or clown emojis whenever I send something into the chat, even if it's something serious like about schoolwork. Its been happening for a week and it happens almost every time I send a message, and it's getitng very frustrating but they keep ignoring whatever I say even if its important. "/>
    <x v="1"/>
  </r>
  <r>
    <x v="2"/>
    <s v="En Jun in my class keeps getting called a &quot;loser&quot; and &quot;autistic&quot; almost daily by the other guys in the class. They only started doing this recently I think after En Jun upset a few of them over some squabble but I don't know the details either. They repeat it whenever they see him, especially in the morning on the way to the hall for assembly, and he always looks like he tries to play along but he also looks kinda uncomfortable."/>
    <x v="1"/>
  </r>
  <r>
    <x v="2"/>
    <s v="For the last few PE classes, a few classmates keep saying things like “fat cow” or “fatass elephant” to me every week during PE class. I get it I'm fat and big but its quite embarassing for them to keep saying this to me and in front of all the other people in the class too. "/>
    <x v="1"/>
  </r>
  <r>
    <x v="2"/>
    <s v="Ever since I ratted out Kieron for not doing his tutorials to our science teacher two weeks ago, now whenever I answer questions in class, he will keep repeating what I say in a mocking tone to get back at me. Now I don't really want to speak up in class anymore. I technically didn't do anything wrong..."/>
    <x v="1"/>
  </r>
  <r>
    <x v="2"/>
    <s v="For the past few weeks, a group of boys in my cohort keeps purposely bumping into me in the corridor. Sometimes they shoulder-check me quite hard while walking past and laugh after that. I've never spoken to them in person actually and I have no idea why they're doing this I don't even know them."/>
    <x v="4"/>
  </r>
  <r>
    <x v="2"/>
    <s v="Since I transferred over to this school 2 weeks ago, some classmates have been taking my stationery during lessons, like my eraser or ruler, and they pass it around the class among each other silently. I have to ask and plead multiple times before I get it back, and sometimes I jsut never get it back at all. It keeps happening even though I’ve told them to stop."/>
    <x v="4"/>
  </r>
  <r>
    <x v="2"/>
    <s v="During PE lessons, a few classmates sometimes tease me and push me lightly when we are lining up or playing games. They say things like “you so slow” and laugh at my weight. It makes me feel very left out and it's not my fault I'm bigger sized that them even though I already tried my best to lose weight."/>
    <x v="4"/>
  </r>
  <r>
    <x v="2"/>
    <s v="In school, some classmates like Bing Zhe keep messing with my things during recess, like moving my tray or taking my drink and pretending it’s a joke. It has happened a few times over the past few weeks when I bump into them in the canteen, and they usually only return it after laughing at me."/>
    <x v="4"/>
  </r>
  <r>
    <x v="2"/>
    <s v="I've seen Bing Zhe and his gang messing around with Jun Hui's things during recess, like moving his tray or taking his drinks and hiding them away. He doesn't have time to eat properly after they do all these funny nonsense to him. "/>
    <x v="4"/>
  </r>
  <r>
    <x v="2"/>
    <s v="In class, some classmates have been taking my pencil case occasionally and hiding it around the classroom as a joke. I usually have to search for it or ask them to return it while they laugh. I alr told them that pencil case is very important to me but they just don't care."/>
    <x v="4"/>
  </r>
  <r>
    <x v="2"/>
    <s v="Yu Jie keeps tapping or flicking me during lessons whenever the teacher isn’t looking. It’s not painful most of the time, but he's been doing it quite often recently and it annoys me a lot because I can't focus, and he just laughs at me when I threaten to tell the teacher and call me a coward because it doesn't even hurt. "/>
    <x v="4"/>
  </r>
  <r>
    <x v="2"/>
    <s v="I've been seeing Julia being called names like “fatty” or “slowpoke” by this group of girls from class 6C recently. When they pass by her in the canteen or during queueing they say it loudly enough for others to hear, and purposely bumps into her. She just looks down and turns away but she looks bothered by it but no one stands up for her."/>
    <x v="4"/>
  </r>
  <r>
    <x v="2"/>
    <s v="Javier's notes are being repeatedly taken by his classmates and passed around even without his permission. He always struggles to try and get it back but he can't against so many of them. "/>
    <x v="4"/>
  </r>
  <r>
    <x v="2"/>
    <s v="My classmates especially the boys have been taking my notes without my permission recently because exam is coming and they're lazy to make their own, and even though I've said no, they just snatch it from me or steal it from my bag when I'm not looking. This is so unfair."/>
    <x v="4"/>
  </r>
  <r>
    <x v="2"/>
    <s v="I think Zane from next class is in some sort of argument with Aloysius from our class. I saw him stop him briefly in the corridor quite a few times the past few days and he doesn't hit him but stands very close and sometimes block his path while making comments like “try me lah”, like he's trying to scare him liddat. "/>
    <x v="4"/>
  </r>
  <r>
    <x v="2"/>
    <s v="Ron has been taking my worksheets and assignments and pretend like he's trying to “help,” but then either blatantly copy my work or laugh at my answers with his group of friends. Sometimes he gives the worksheet back but its in a torn and tattered state as well...  "/>
    <x v="4"/>
  </r>
  <r>
    <x v="2"/>
    <s v="Chloe, Megan, and several others keep spreading a false rumours about me. It keeps happening, and because of that, many people have started distancing themselves from me. Classmates avoid talking to me, and I am often left out because they are afraid of becoming the next target. People have been avoiding me wherever I go. Even my friends are hanging out without me. I hate going to school. I recently have started avoiding school by telling my family I am unwell. I need help"/>
    <x v="4"/>
  </r>
  <r>
    <x v="2"/>
    <s v="I am being bullied by multiple classmates. They even  made fake accounts using my name on Instagram and post bad things using those accounts. Many times during recess, they  take my money, leaving me without food. When I leave my seat, such as going to the toilet, I return to find my belongings thrown out of my pencil case onto the floor. I don't know how tell my parents."/>
    <x v="3"/>
  </r>
  <r>
    <x v="2"/>
    <s v="I think  Amir is being targeted by Daniel, Marcus, and some other classmates. I overhead them discussing plans to harass him. I heard from others that they have also been taking his money during recess every week and disturbing his belongings by throwing items from his pencil case onto the floor."/>
    <x v="3"/>
  </r>
  <r>
    <x v="2"/>
    <s v="Every week Joey and Rachel will come to my class, one of them will take out a  pen knife and threaten me. They tell me to hand over all my money or food whenever they approach me. I do not argue anymore as I am afraid of what they might do."/>
    <x v="2"/>
  </r>
  <r>
    <x v="2"/>
    <s v="Imran and Boon Keng have been targeting me again and again. Many times they acted aggressively towards me, and recently, they seriously injured my leg.  During one of the recent incident, some of my classmates confronted them during recess, surrounding them and making it clear that their behaviour was unacceptable. Despite this, they still keep attacking me."/>
    <x v="2"/>
  </r>
  <r>
    <x v="2"/>
    <s v="I have been seeing Imran and Boon Keng disturbing Jon many times the last few weeks. I saw them being aggressive to him, with one incident resulting in serious injury to Jon's leg. These incidents occur frequently and have created concern among classmates. Some of us confronted Imran and Boon Keng during recess to stop the behaviour. I dont think they have stopped."/>
    <x v="2"/>
  </r>
  <r>
    <x v="1"/>
    <s v="Aaron and Louis have been constantly targeting me the last few months. They have been very aggressive to me, pushing me and hitting me in the back of my head. They even injured my knee once. The incidents happen all the time, and Im always scared when I am around them. After the injury, a group of my classmates confronted them during recess to intervene and stop the behaviour. They just laughed it off and called me a loser."/>
    <x v="2"/>
  </r>
  <r>
    <x v="1"/>
    <s v="Aaron and Louis have been consistently targeting Roger. I saw them hitting them Roger behind the staircase near the hall. Recently, they caused serious injury to his leg. I keep seeing them bring Roger to that staircase. Some of us responded by gathering in large numbers during recess to confront the bullies and prevent further harm. I dont think they took our warning seriously."/>
    <x v="2"/>
  </r>
  <r>
    <x v="2"/>
    <s v="Jayden Tan and his group have been bullying me many times in school. The incidents include physical actions and repeated name-calling, which happen every week. Because of this, I avoid the canteen and stop eating there to prevent contact with them. I have also withdrawn from my friends as I feel overwhelmed dealing with the situation. I feel unsafe in school and struggle to get through each day without feeling anxious."/>
    <x v="3"/>
  </r>
  <r>
    <x v="2"/>
    <s v="I think Ethan has beenn frequently targeted by Jayden Tan and his group. The bullying includes physical actions and repeated verbal insults. I dont see Ethan common areas such as the canteen anymore and I heard from his friends he  has reduced interaction with them. The incidents occur many times and appear to be ongoing._x000a_"/>
    <x v="3"/>
  </r>
  <r>
    <x v="2"/>
    <s v="Dylan Tan, Marcus Lee, and Shaun Ong have been bullying me many times over the past few months. The incidents include repeated verbal insults, racial slurs, and actions such as shoving me, damaging my stationery, and interfering with my work. They have used offensive language towards me, including racial remarks and other hurtful insults. Recently, during class, two of them physically assaulted me."/>
    <x v="3"/>
  </r>
  <r>
    <x v="2"/>
    <s v="I believe Kumar has been a frequent target for Dylan Tan, Marcus Lee, and Shaun Ong. I overheard from some classmates that Kumar has been repeatedly verbally insulted with racial slurs, and actions such as shoving and damaging his belongings. Recently I saw two of the bullies physically assaulted Kumar."/>
    <x v="3"/>
  </r>
  <r>
    <x v="2"/>
    <s v="Marcus Lee has been targeting me many times. It started with verbal remarks and has progressed to physical actions. The incidents happen frequently and make me feel tense and on edge in school. At first, I felt a lot of anger towards him and held onto it for a long time. Now, I dont know what to do."/>
    <x v="3"/>
  </r>
  <r>
    <x v="2"/>
    <s v="I observed that Ryan Tan showing signs of distress over time, becoming quieter. I then heard froma friend that Marcus Lee had been targeting him frequently, with behaviour escalating from verbal remarks to physical actions."/>
    <x v="3"/>
  </r>
  <r>
    <x v="2"/>
    <s v="Brandon Tan, Marcus Lee, and others have been targeting me many times in class. They frequently punch me without warning and involve me in rough physical behaviour. I went along with it because I wanted to fit in with them, but the actions were not enjoyable and made me uncomfortable. Even though I did not resist, it created ongoing discomfort and pressure for me."/>
    <x v="3"/>
  </r>
  <r>
    <x v="2"/>
    <s v="I saw Jason is frequently involved in rough physical behaviour initiated by Brandon Tan, Marcus Lee, and others. This includes repeated punching and treating him as part of a wrestling act. The incidents occur many times and appear ongoing."/>
    <x v="3"/>
  </r>
  <r>
    <x v="2"/>
    <s v="Dillon and a group of classmates have been bullying me many times. They repeatedly call me names such as “smelly,” “stinky,” and other insulting words. I have also been pinched and physically beaten on a few occasions. These incidents happen frequently and I am often excluded from group activities in class. When I am paired with someone by the teacher, they also join in making fun of me, and others may laugh along. It has made me avoid classmates and feel unsafe both in and outside school."/>
    <x v="3"/>
  </r>
  <r>
    <x v="2"/>
    <s v="Kevin is frequently targeted by Dillon and a group of classmates. I saw them name-calling him alot. Recently, they have been pinching him alot. These incidents occur many times and many times others join in the teasing."/>
    <x v="3"/>
  </r>
  <r>
    <x v="2"/>
    <s v="A group of classmates have been targeting me many times in class. They repeatedly call me “German Shepherd” because I am German-born, and also use insulting terms such as “Nazi.”  This has been happening frequently. They recently started to hit and kick me."/>
    <x v="3"/>
  </r>
  <r>
    <x v="2"/>
    <s v="I think Adrian is frequently targeted by Dominic and his friends. I heard them name-calling Adrian with hurtful names like “German Shepherd” and “Nazi&quot;. Some friends of mine said that they saw Adrian getting kicked  by them near the level 3 toilet."/>
    <x v="3"/>
  </r>
  <r>
    <x v="2"/>
    <s v="Xavier and John have been targeting me for awhile. They frequently kick me, flick my head, and take my stationery, often pretending it is a joke. I am also regularly called names and excluded from group activities in class._x000a_There was one incident where one of them pushed me down the stairs and I sprained my ankle. This made me feel unsafe around them but I dont know who to go for help."/>
    <x v="2"/>
  </r>
  <r>
    <x v="2"/>
    <s v="I believe that Ethan Lim has been targeted by Xavier and John for a period of time. Im unsure how long. I know they have been kicking him repeatedly, flicking his head, taking his stationery, and name-calling. I remember seeing Ethan with an ankle brace one day. I heard from some friends that he got pushed by Xavier down the stairs. "/>
    <x v="2"/>
  </r>
  <r>
    <x v="2"/>
    <s v="Jasmine and a group of classmates have been targeting me many times near the side gate area. There were earlier instances where they surrounded me and I felt very uncomfortable. Today, the situation escalated. Jasmine Tan hit me, and another girl twisted my arm very forcefully, causing me pain and distress. I was in so much pain. I had wear an arm brace after that incident."/>
    <x v="2"/>
  </r>
  <r>
    <x v="2"/>
    <s v="I have seen Nurul being bullied by Jasmine Tan and friends near the school side gate. Today, I saw Jasmine Tan struck Nurul and another student forcefully twisted her arm. She was screaming so loud."/>
    <x v="2"/>
  </r>
  <r>
    <x v="2"/>
    <s v="Alvin has have been targeting me for awhile. Every week he comes and show a flick knife to me as a threat. Because of this, I often feel forced to give them money or food without resisting."/>
    <x v="2"/>
  </r>
  <r>
    <x v="2"/>
    <s v="Several boys in my class have been bullying me again and again. They usually kick and flick the back of my head. They also like to take my stationery and don't return it. Even when I tell them to stop, the behaviour continues. Over time, I have stopped expecting to get my belongings back. Because of this, I often feel reluctant to go to school. They always say that &quot;its just a prank bro&quot;. Recently, I was almost pushed down the stairs by Goh."/>
    <x v="2"/>
  </r>
  <r>
    <x v="0"/>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E78DEE-6974-475C-80FC-04D922321AEC}"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3:H10" firstHeaderRow="1" firstDataRow="2" firstDataCol="1"/>
  <pivotFields count="3">
    <pivotField axis="axisRow" compact="0" outline="0" showAll="0">
      <items count="6">
        <item x="3"/>
        <item x="4"/>
        <item x="2"/>
        <item x="1"/>
        <item x="0"/>
        <item t="default"/>
      </items>
    </pivotField>
    <pivotField compact="0" outline="0" showAll="0"/>
    <pivotField axis="axisCol" dataField="1" compact="0" outline="0" showAll="0">
      <items count="6">
        <item x="1"/>
        <item x="4"/>
        <item x="3"/>
        <item x="2"/>
        <item x="0"/>
        <item t="default"/>
      </items>
    </pivotField>
  </pivotFields>
  <rowFields count="1">
    <field x="0"/>
  </rowFields>
  <rowItems count="6">
    <i>
      <x/>
    </i>
    <i>
      <x v="1"/>
    </i>
    <i>
      <x v="2"/>
    </i>
    <i>
      <x v="3"/>
    </i>
    <i>
      <x v="4"/>
    </i>
    <i t="grand">
      <x/>
    </i>
  </rowItems>
  <colFields count="1">
    <field x="2"/>
  </colFields>
  <colItems count="6">
    <i>
      <x/>
    </i>
    <i>
      <x v="1"/>
    </i>
    <i>
      <x v="2"/>
    </i>
    <i>
      <x v="3"/>
    </i>
    <i>
      <x v="4"/>
    </i>
    <i t="grand">
      <x/>
    </i>
  </colItems>
  <dataFields count="1">
    <dataField name="Count of severity_scor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24" dT="2026-03-10T10:27:39.32" personId="{39C036B2-4A39-489A-BFD3-5F5233F9EC84}" id="{398E36B1-FCC1-43F4-A63F-885B1E350222}">
    <text xml:space="preserve">mab can split this into a few samples? </text>
  </threadedComment>
  <threadedComment ref="H82" dT="2026-03-10T10:27:39.32" personId="{39C036B2-4A39-489A-BFD3-5F5233F9EC84}" id="{6BEC8A42-54D6-4198-99C3-0AF780BDEA3C}">
    <text xml:space="preserve">mab can split this into a few samples? </text>
  </threadedComment>
  <threadedComment ref="H83" dT="2026-03-10T10:27:39.32" personId="{39C036B2-4A39-489A-BFD3-5F5233F9EC84}" id="{6837DAC2-B256-405C-BB31-095718DB5B39}">
    <text xml:space="preserve">mab can split this into a few samples? </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www.reddit.com/r/askSingapore/comments/1gul7a2/people_who_got_bullied_during_school_days_where/" TargetMode="External"/><Relationship Id="rId18" Type="http://schemas.openxmlformats.org/officeDocument/2006/relationships/hyperlink" Target="https://www.reddit.com/r/SingaporeRaw/comments/1iwqp6k/mother_speaks_out_on_sons_bullying_on_montfort/" TargetMode="External"/><Relationship Id="rId26" Type="http://schemas.openxmlformats.org/officeDocument/2006/relationships/hyperlink" Target="https://www.reddit.com/r/askSingapore/comments/1b91xpo/school_bullying_situation/" TargetMode="External"/><Relationship Id="rId39" Type="http://schemas.openxmlformats.org/officeDocument/2006/relationships/hyperlink" Target="https://www.reddit.com/r/askSingapore/comments/vjtbzt/comment/idlp6dn/?utm_source=share&amp;utm_medium=web3x&amp;utm_name=web3xcss&amp;utm_term=1&amp;utm_content=share_button" TargetMode="External"/><Relationship Id="rId21" Type="http://schemas.openxmlformats.org/officeDocument/2006/relationships/hyperlink" Target="https://www.reddit.com/r/SingaporeRaw/comments/1hyn5vo/endured_bullying_in_ite_while_unable_to_trust_the/" TargetMode="External"/><Relationship Id="rId34" Type="http://schemas.openxmlformats.org/officeDocument/2006/relationships/hyperlink" Target="https://www.reddit.com/r/askSingapore/comments/vjtbzt/comment/idl40tl/?utm_source=share&amp;utm_medium=web3x&amp;utm_name=web3xcss&amp;utm_term=1&amp;utm_content=share_button" TargetMode="External"/><Relationship Id="rId42" Type="http://schemas.openxmlformats.org/officeDocument/2006/relationships/hyperlink" Target="https://www.reddit.com/r/askSingapore/comments/vjtbzt/comment/idn2f8s/?utm_source=share&amp;utm_medium=web3x&amp;utm_name=web3xcss&amp;utm_term=1&amp;utm_content=share_button" TargetMode="External"/><Relationship Id="rId47" Type="http://schemas.openxmlformats.org/officeDocument/2006/relationships/hyperlink" Target="https://www.reddit.com/r/singapore/comments/7mk5ft/share_your_being_bullied_or_even_bullying_stories/" TargetMode="External"/><Relationship Id="rId50" Type="http://schemas.openxmlformats.org/officeDocument/2006/relationships/vmlDrawing" Target="../drawings/vmlDrawing1.vml"/><Relationship Id="rId7" Type="http://schemas.openxmlformats.org/officeDocument/2006/relationships/hyperlink" Target="https://www.reddit.com/r/askSingapore/comments/1gul7a2/people_who_got_bullied_during_school_days_where/" TargetMode="External"/><Relationship Id="rId2" Type="http://schemas.openxmlformats.org/officeDocument/2006/relationships/hyperlink" Target="https://www.reddit.com/r/SingaporeRaw/comments/1d29c1l/bullying_i_was_a_victim_previously/" TargetMode="External"/><Relationship Id="rId16" Type="http://schemas.openxmlformats.org/officeDocument/2006/relationships/hyperlink" Target="https://www.reddit.com/r/askSingapore/comments/1gul7a2/people_who_got_bullied_during_school_days_where/" TargetMode="External"/><Relationship Id="rId29" Type="http://schemas.openxmlformats.org/officeDocument/2006/relationships/hyperlink" Target="https://www.reddit.com/r/singapore/comments/7mk5ft/share_your_being_bullied_or_even_bullying_stories/" TargetMode="External"/><Relationship Id="rId11" Type="http://schemas.openxmlformats.org/officeDocument/2006/relationships/hyperlink" Target="https://www.reddit.com/r/askSingapore/comments/1gul7a2/people_who_got_bullied_during_school_days_where/" TargetMode="External"/><Relationship Id="rId24" Type="http://schemas.openxmlformats.org/officeDocument/2006/relationships/hyperlink" Target="https://www.reddit.com/r/SGExams/comments/1f5ubce/sji_my_experience_and_struggle_with_rampant/" TargetMode="External"/><Relationship Id="rId32" Type="http://schemas.openxmlformats.org/officeDocument/2006/relationships/hyperlink" Target="https://www.reddit.com/r/SGExams/comments/1hol71u/my_take_on_bullying_in_secondary_schools/" TargetMode="External"/><Relationship Id="rId37" Type="http://schemas.openxmlformats.org/officeDocument/2006/relationships/hyperlink" Target="https://www.reddit.com/r/askSingapore/comments/vjtbzt/comment/idmbf8d/?utm_source=share&amp;utm_medium=web3x&amp;utm_name=web3xcss&amp;utm_term=1&amp;utm_content=share_button" TargetMode="External"/><Relationship Id="rId40" Type="http://schemas.openxmlformats.org/officeDocument/2006/relationships/hyperlink" Target="https://www.reddit.com/r/askSingapore/comments/vjtbzt/comment/idl0vhw/?utm_source=share&amp;utm_medium=web3x&amp;utm_name=web3xcss&amp;utm_term=1&amp;utm_content=share_button" TargetMode="External"/><Relationship Id="rId45" Type="http://schemas.openxmlformats.org/officeDocument/2006/relationships/hyperlink" Target="https://www.reddit.com/r/askSingapore/comments/vjtbzt/comment/ido7sjb/?utm_source=share&amp;utm_medium=web3x&amp;utm_name=web3xcss&amp;utm_term=1&amp;utm_content=share_button" TargetMode="External"/><Relationship Id="rId5" Type="http://schemas.openxmlformats.org/officeDocument/2006/relationships/hyperlink" Target="https://www.reddit.com/r/askSingapore/comments/1gul7a2/people_who_got_bullied_during_school_days_where/" TargetMode="External"/><Relationship Id="rId15" Type="http://schemas.openxmlformats.org/officeDocument/2006/relationships/hyperlink" Target="https://www.reddit.com/r/askSingapore/comments/1gul7a2/people_who_got_bullied_during_school_days_where/" TargetMode="External"/><Relationship Id="rId23" Type="http://schemas.openxmlformats.org/officeDocument/2006/relationships/hyperlink" Target="https://www.reddit.com/r/SGExams/comments/1hjljs2/update_sji_homophobic_bullying_and_marginalisation/" TargetMode="External"/><Relationship Id="rId28" Type="http://schemas.openxmlformats.org/officeDocument/2006/relationships/hyperlink" Target="https://www.reddit.com/r/singapore/comments/7mk5ft/share_your_being_bullied_or_even_bullying_stories/" TargetMode="External"/><Relationship Id="rId36" Type="http://schemas.openxmlformats.org/officeDocument/2006/relationships/hyperlink" Target="https://www.reddit.com/r/askSingapore/comments/vjtbzt/those_who_were_bullied_in_school_how_did_yall/" TargetMode="External"/><Relationship Id="rId49" Type="http://schemas.openxmlformats.org/officeDocument/2006/relationships/hyperlink" Target="https://www.reddit.com/r/singapore/comments/keyiiq/sporean_13_overdosed_on_painkillers_after_school/" TargetMode="External"/><Relationship Id="rId10" Type="http://schemas.openxmlformats.org/officeDocument/2006/relationships/hyperlink" Target="https://www.reddit.com/r/askSingapore/comments/1gul7a2/people_who_got_bullied_during_school_days_where/" TargetMode="External"/><Relationship Id="rId19" Type="http://schemas.openxmlformats.org/officeDocument/2006/relationships/hyperlink" Target="https://www.reddit.com/r/SingaporeRaw/comments/1iwqp6k/mother_speaks_out_on_sons_bullying_on_montfort/" TargetMode="External"/><Relationship Id="rId31" Type="http://schemas.openxmlformats.org/officeDocument/2006/relationships/hyperlink" Target="https://www.reddit.com/r/SGExams/comments/198rq68/comment/kiavzkc/?utm_source=share&amp;utm_medium=web3x&amp;utm_name=web3xcss&amp;utm_term=1&amp;utm_content=share_button" TargetMode="External"/><Relationship Id="rId44" Type="http://schemas.openxmlformats.org/officeDocument/2006/relationships/hyperlink" Target="https://www.reddit.com/r/askSingapore/comments/vjtbzt/comment/idl6rua/?utm_source=share&amp;utm_medium=web3x&amp;utm_name=web3xcss&amp;utm_term=1&amp;utm_content=share_button" TargetMode="External"/><Relationship Id="rId52" Type="http://schemas.microsoft.com/office/2017/10/relationships/threadedComment" Target="../threadedComments/threadedComment1.xml"/><Relationship Id="rId4" Type="http://schemas.openxmlformats.org/officeDocument/2006/relationships/hyperlink" Target="https://www.reddit.com/r/askSingapore/comments/1onzzhj/is_it_just_me_or_is_bullying_more_serious_now/" TargetMode="External"/><Relationship Id="rId9" Type="http://schemas.openxmlformats.org/officeDocument/2006/relationships/hyperlink" Target="https://www.reddit.com/r/askSingapore/comments/1gul7a2/people_who_got_bullied_during_school_days_where/" TargetMode="External"/><Relationship Id="rId14" Type="http://schemas.openxmlformats.org/officeDocument/2006/relationships/hyperlink" Target="https://www.reddit.com/r/askSingapore/comments/1gul7a2/people_who_got_bullied_during_school_days_where/" TargetMode="External"/><Relationship Id="rId22" Type="http://schemas.openxmlformats.org/officeDocument/2006/relationships/hyperlink" Target="https://www.reddit.com/r/SingaporeRaw/comments/1hyn5vo/endured_bullying_in_ite_while_unable_to_trust_the/" TargetMode="External"/><Relationship Id="rId27" Type="http://schemas.openxmlformats.org/officeDocument/2006/relationships/hyperlink" Target="https://www.reddit.com/r/SGExams/comments/1r32vzb/am_i_being_bullied/" TargetMode="External"/><Relationship Id="rId30" Type="http://schemas.openxmlformats.org/officeDocument/2006/relationships/hyperlink" Target="https://www.reddit.com/r/SGExams/comments/198rq68/schools_and_bullying/" TargetMode="External"/><Relationship Id="rId35" Type="http://schemas.openxmlformats.org/officeDocument/2006/relationships/hyperlink" Target="https://www.reddit.com/r/askSingapore/comments/vjtbzt/comment/idlll7s/?utm_source=share&amp;utm_medium=web3x&amp;utm_name=web3xcss&amp;utm_term=1&amp;utm_content=share_button" TargetMode="External"/><Relationship Id="rId43" Type="http://schemas.openxmlformats.org/officeDocument/2006/relationships/hyperlink" Target="https://www.reddit.com/r/singapore/comments/7mk5ft/share_your_being_bullied_or_even_bullying_stories/" TargetMode="External"/><Relationship Id="rId48" Type="http://schemas.openxmlformats.org/officeDocument/2006/relationships/hyperlink" Target="https://www.reddit.com/r/singapore/comments/7mk5ft/share_your_being_bullied_or_even_bullying_stories/" TargetMode="External"/><Relationship Id="rId8" Type="http://schemas.openxmlformats.org/officeDocument/2006/relationships/hyperlink" Target="https://www.reddit.com/r/askSingapore/comments/1gul7a2/people_who_got_bullied_during_school_days_where/" TargetMode="External"/><Relationship Id="rId51" Type="http://schemas.openxmlformats.org/officeDocument/2006/relationships/comments" Target="../comments1.xml"/><Relationship Id="rId3" Type="http://schemas.openxmlformats.org/officeDocument/2006/relationships/hyperlink" Target="https://www.reddit.com/r/askSingapore/comments/1onzzhj/is_it_just_me_or_is_bullying_more_serious_now/" TargetMode="External"/><Relationship Id="rId12" Type="http://schemas.openxmlformats.org/officeDocument/2006/relationships/hyperlink" Target="https://www.reddit.com/r/askSingapore/comments/1gul7a2/people_who_got_bullied_during_school_days_where/" TargetMode="External"/><Relationship Id="rId17" Type="http://schemas.openxmlformats.org/officeDocument/2006/relationships/hyperlink" Target="https://www.reddit.com/r/SingaporeRaw/comments/1ivyvp9/singapore_school_bullying/" TargetMode="External"/><Relationship Id="rId25" Type="http://schemas.openxmlformats.org/officeDocument/2006/relationships/hyperlink" Target="https://www.reddit.com/r/SGExams/comments/1oh5sa3/constantly_bullied_in_secondary_school_glad_those/" TargetMode="External"/><Relationship Id="rId33" Type="http://schemas.openxmlformats.org/officeDocument/2006/relationships/hyperlink" Target="https://www.reddit.com/r/askSingapore/comments/vjtbzt/those_who_were_bullied_in_school_how_did_yall/" TargetMode="External"/><Relationship Id="rId38" Type="http://schemas.openxmlformats.org/officeDocument/2006/relationships/hyperlink" Target="https://www.reddit.com/r/askSingapore/comments/vjtbzt/those_who_were_bullied_in_school_how_did_yall/" TargetMode="External"/><Relationship Id="rId46" Type="http://schemas.openxmlformats.org/officeDocument/2006/relationships/hyperlink" Target="https://www.reddit.com/r/askSingapore/comments/vjtbzt/those_who_were_bullied_in_school_how_did_yall/" TargetMode="External"/><Relationship Id="rId20" Type="http://schemas.openxmlformats.org/officeDocument/2006/relationships/hyperlink" Target="https://www.reddit.com/r/SingaporeRaw/comments/1iwqp6k/mother_speaks_out_on_sons_bullying_on_montfort/" TargetMode="External"/><Relationship Id="rId41" Type="http://schemas.openxmlformats.org/officeDocument/2006/relationships/hyperlink" Target="https://www.reddit.com/r/askSingapore/comments/vjtbzt/comment/idnfgvq/?utm_source=share&amp;utm_medium=web3x&amp;utm_name=web3xcss&amp;utm_term=1&amp;utm_content=share_button" TargetMode="External"/><Relationship Id="rId1" Type="http://schemas.openxmlformats.org/officeDocument/2006/relationships/hyperlink" Target="https://www.reddit.com/r/singapore/comments/keyiiq/sporean_13_overdosed_on_painkillers_after_school/" TargetMode="External"/><Relationship Id="rId6" Type="http://schemas.openxmlformats.org/officeDocument/2006/relationships/hyperlink" Target="https://www.reddit.com/r/askSingapore/comments/1gul7a2/people_who_got_bullied_during_school_days_where/" TargetMode="External"/></Relationships>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3" Type="http://schemas.openxmlformats.org/officeDocument/2006/relationships/hyperlink" Target="https://www.reddit.com/r/askSingapore/comments/1gul7a2/people_who_got_bullied_during_school_days_where/" TargetMode="External"/><Relationship Id="rId18" Type="http://schemas.openxmlformats.org/officeDocument/2006/relationships/hyperlink" Target="https://www.reddit.com/r/SingaporeRaw/comments/1iwqp6k/mother_speaks_out_on_sons_bullying_on_montfort/" TargetMode="External"/><Relationship Id="rId26" Type="http://schemas.openxmlformats.org/officeDocument/2006/relationships/hyperlink" Target="https://www.reddit.com/r/askSingapore/comments/1gul7a2/people_who_got_bullied_during_school_days_where/" TargetMode="External"/><Relationship Id="rId39" Type="http://schemas.openxmlformats.org/officeDocument/2006/relationships/hyperlink" Target="https://www.reddit.com/r/SingaporeRaw/comments/1iwqp6k/mother_speaks_out_on_sons_bullying_on_montfort/" TargetMode="External"/><Relationship Id="rId21" Type="http://schemas.openxmlformats.org/officeDocument/2006/relationships/hyperlink" Target="https://www.reddit.com/r/SingaporeRaw/comments/1hyn5vo/endured_bullying_in_ite_while_unable_to_trust_the/" TargetMode="External"/><Relationship Id="rId34" Type="http://schemas.openxmlformats.org/officeDocument/2006/relationships/hyperlink" Target="https://www.reddit.com/r/askSingapore/comments/1gul7a2/people_who_got_bullied_during_school_days_where/" TargetMode="External"/><Relationship Id="rId42" Type="http://schemas.openxmlformats.org/officeDocument/2006/relationships/hyperlink" Target="https://www.reddit.com/r/SingaporeRaw/comments/1hyn5vo/endured_bullying_in_ite_while_unable_to_trust_the/" TargetMode="External"/><Relationship Id="rId47" Type="http://schemas.openxmlformats.org/officeDocument/2006/relationships/hyperlink" Target="https://www.reddit.com/r/askSingapore/comments/1gul7a2/people_who_got_bullied_during_school_days_where/" TargetMode="External"/><Relationship Id="rId50" Type="http://schemas.openxmlformats.org/officeDocument/2006/relationships/hyperlink" Target="https://www.reddit.com/r/askSingapore/comments/1gul7a2/people_who_got_bullied_during_school_days_where/" TargetMode="External"/><Relationship Id="rId55" Type="http://schemas.openxmlformats.org/officeDocument/2006/relationships/hyperlink" Target="https://www.reddit.com/r/SingaporeRaw/comments/1hyn5vo/endured_bullying_in_ite_while_unable_to_trust_the/" TargetMode="External"/><Relationship Id="rId7" Type="http://schemas.openxmlformats.org/officeDocument/2006/relationships/hyperlink" Target="https://www.reddit.com/r/askSingapore/comments/1gul7a2/people_who_got_bullied_during_school_days_where/" TargetMode="External"/><Relationship Id="rId2" Type="http://schemas.openxmlformats.org/officeDocument/2006/relationships/hyperlink" Target="https://www.reddit.com/r/askSingapore/comments/1onzzhj/is_it_just_me_or_is_bullying_more_serious_now/" TargetMode="External"/><Relationship Id="rId16" Type="http://schemas.openxmlformats.org/officeDocument/2006/relationships/hyperlink" Target="https://www.reddit.com/r/SingaporeRaw/comments/1ivyvp9/singapore_school_bullying/" TargetMode="External"/><Relationship Id="rId29" Type="http://schemas.openxmlformats.org/officeDocument/2006/relationships/hyperlink" Target="https://www.reddit.com/r/askSingapore/comments/1gul7a2/people_who_got_bullied_during_school_days_where/" TargetMode="External"/><Relationship Id="rId11" Type="http://schemas.openxmlformats.org/officeDocument/2006/relationships/hyperlink" Target="https://www.reddit.com/r/askSingapore/comments/1gul7a2/people_who_got_bullied_during_school_days_where/" TargetMode="External"/><Relationship Id="rId24" Type="http://schemas.openxmlformats.org/officeDocument/2006/relationships/hyperlink" Target="https://www.reddit.com/r/askSingapore/comments/1onzzhj/is_it_just_me_or_is_bullying_more_serious_now/" TargetMode="External"/><Relationship Id="rId32" Type="http://schemas.openxmlformats.org/officeDocument/2006/relationships/hyperlink" Target="https://www.reddit.com/r/askSingapore/comments/1gul7a2/people_who_got_bullied_during_school_days_where/" TargetMode="External"/><Relationship Id="rId37" Type="http://schemas.openxmlformats.org/officeDocument/2006/relationships/hyperlink" Target="https://www.reddit.com/r/SingaporeRaw/comments/1ivyvp9/singapore_school_bullying/" TargetMode="External"/><Relationship Id="rId40" Type="http://schemas.openxmlformats.org/officeDocument/2006/relationships/hyperlink" Target="https://www.reddit.com/r/SingaporeRaw/comments/1iwqp6k/mother_speaks_out_on_sons_bullying_on_montfort/" TargetMode="External"/><Relationship Id="rId45" Type="http://schemas.openxmlformats.org/officeDocument/2006/relationships/hyperlink" Target="https://www.reddit.com/r/askSingapore/comments/1gul7a2/people_who_got_bullied_during_school_days_where/" TargetMode="External"/><Relationship Id="rId53" Type="http://schemas.openxmlformats.org/officeDocument/2006/relationships/hyperlink" Target="https://www.reddit.com/r/SingaporeRaw/comments/1iwqp6k/mother_speaks_out_on_sons_bullying_on_montfort/" TargetMode="External"/><Relationship Id="rId5" Type="http://schemas.openxmlformats.org/officeDocument/2006/relationships/hyperlink" Target="https://www.reddit.com/r/askSingapore/comments/1gul7a2/people_who_got_bullied_during_school_days_where/" TargetMode="External"/><Relationship Id="rId10" Type="http://schemas.openxmlformats.org/officeDocument/2006/relationships/hyperlink" Target="https://www.reddit.com/r/askSingapore/comments/1gul7a2/people_who_got_bullied_during_school_days_where/" TargetMode="External"/><Relationship Id="rId19" Type="http://schemas.openxmlformats.org/officeDocument/2006/relationships/hyperlink" Target="https://www.reddit.com/r/SingaporeRaw/comments/1iwqp6k/mother_speaks_out_on_sons_bullying_on_montfort/" TargetMode="External"/><Relationship Id="rId31" Type="http://schemas.openxmlformats.org/officeDocument/2006/relationships/hyperlink" Target="https://www.reddit.com/r/askSingapore/comments/1gul7a2/people_who_got_bullied_during_school_days_where/" TargetMode="External"/><Relationship Id="rId44" Type="http://schemas.openxmlformats.org/officeDocument/2006/relationships/hyperlink" Target="https://www.reddit.com/r/askSingapore/comments/1onzzhj/is_it_just_me_or_is_bullying_more_serious_now/" TargetMode="External"/><Relationship Id="rId52" Type="http://schemas.openxmlformats.org/officeDocument/2006/relationships/hyperlink" Target="https://www.reddit.com/r/SingaporeRaw/comments/1iwqp6k/mother_speaks_out_on_sons_bullying_on_montfort/" TargetMode="External"/><Relationship Id="rId4" Type="http://schemas.openxmlformats.org/officeDocument/2006/relationships/hyperlink" Target="https://www.reddit.com/r/askSingapore/comments/1gul7a2/people_who_got_bullied_during_school_days_where/" TargetMode="External"/><Relationship Id="rId9" Type="http://schemas.openxmlformats.org/officeDocument/2006/relationships/hyperlink" Target="https://www.reddit.com/r/askSingapore/comments/1gul7a2/people_who_got_bullied_during_school_days_where/" TargetMode="External"/><Relationship Id="rId14" Type="http://schemas.openxmlformats.org/officeDocument/2006/relationships/hyperlink" Target="https://www.reddit.com/r/askSingapore/comments/1gul7a2/people_who_got_bullied_during_school_days_where/" TargetMode="External"/><Relationship Id="rId22" Type="http://schemas.openxmlformats.org/officeDocument/2006/relationships/hyperlink" Target="https://www.reddit.com/r/SingaporeRaw/comments/1d29c1l/bullying_i_was_a_victim_previously/" TargetMode="External"/><Relationship Id="rId27" Type="http://schemas.openxmlformats.org/officeDocument/2006/relationships/hyperlink" Target="https://www.reddit.com/r/askSingapore/comments/1gul7a2/people_who_got_bullied_during_school_days_where/" TargetMode="External"/><Relationship Id="rId30" Type="http://schemas.openxmlformats.org/officeDocument/2006/relationships/hyperlink" Target="https://www.reddit.com/r/askSingapore/comments/1gul7a2/people_who_got_bullied_during_school_days_where/" TargetMode="External"/><Relationship Id="rId35" Type="http://schemas.openxmlformats.org/officeDocument/2006/relationships/hyperlink" Target="https://www.reddit.com/r/askSingapore/comments/1gul7a2/people_who_got_bullied_during_school_days_where/" TargetMode="External"/><Relationship Id="rId43" Type="http://schemas.openxmlformats.org/officeDocument/2006/relationships/hyperlink" Target="https://www.reddit.com/r/askSingapore/comments/1onzzhj/is_it_just_me_or_is_bullying_more_serious_now/" TargetMode="External"/><Relationship Id="rId48" Type="http://schemas.openxmlformats.org/officeDocument/2006/relationships/hyperlink" Target="https://www.reddit.com/r/askSingapore/comments/1gul7a2/people_who_got_bullied_during_school_days_where/" TargetMode="External"/><Relationship Id="rId8" Type="http://schemas.openxmlformats.org/officeDocument/2006/relationships/hyperlink" Target="https://www.reddit.com/r/askSingapore/comments/1gul7a2/people_who_got_bullied_during_school_days_where/" TargetMode="External"/><Relationship Id="rId51" Type="http://schemas.openxmlformats.org/officeDocument/2006/relationships/hyperlink" Target="https://www.reddit.com/r/askSingapore/comments/1gul7a2/people_who_got_bullied_during_school_days_where/" TargetMode="External"/><Relationship Id="rId3" Type="http://schemas.openxmlformats.org/officeDocument/2006/relationships/hyperlink" Target="https://www.reddit.com/r/askSingapore/comments/1onzzhj/is_it_just_me_or_is_bullying_more_serious_now/" TargetMode="External"/><Relationship Id="rId12" Type="http://schemas.openxmlformats.org/officeDocument/2006/relationships/hyperlink" Target="https://www.reddit.com/r/askSingapore/comments/1gul7a2/people_who_got_bullied_during_school_days_where/" TargetMode="External"/><Relationship Id="rId17" Type="http://schemas.openxmlformats.org/officeDocument/2006/relationships/hyperlink" Target="https://www.reddit.com/r/SingaporeRaw/comments/1iwqp6k/mother_speaks_out_on_sons_bullying_on_montfort/" TargetMode="External"/><Relationship Id="rId25" Type="http://schemas.openxmlformats.org/officeDocument/2006/relationships/hyperlink" Target="https://www.reddit.com/r/askSingapore/comments/1gul7a2/people_who_got_bullied_during_school_days_where/" TargetMode="External"/><Relationship Id="rId33" Type="http://schemas.openxmlformats.org/officeDocument/2006/relationships/hyperlink" Target="https://www.reddit.com/r/askSingapore/comments/1gul7a2/people_who_got_bullied_during_school_days_where/" TargetMode="External"/><Relationship Id="rId38" Type="http://schemas.openxmlformats.org/officeDocument/2006/relationships/hyperlink" Target="https://www.reddit.com/r/SingaporeRaw/comments/1iwqp6k/mother_speaks_out_on_sons_bullying_on_montfort/" TargetMode="External"/><Relationship Id="rId46" Type="http://schemas.openxmlformats.org/officeDocument/2006/relationships/hyperlink" Target="https://www.reddit.com/r/askSingapore/comments/1gul7a2/people_who_got_bullied_during_school_days_where/" TargetMode="External"/><Relationship Id="rId20" Type="http://schemas.openxmlformats.org/officeDocument/2006/relationships/hyperlink" Target="https://www.reddit.com/r/SingaporeRaw/comments/1hyn5vo/endured_bullying_in_ite_while_unable_to_trust_the/" TargetMode="External"/><Relationship Id="rId41" Type="http://schemas.openxmlformats.org/officeDocument/2006/relationships/hyperlink" Target="https://www.reddit.com/r/SingaporeRaw/comments/1hyn5vo/endured_bullying_in_ite_while_unable_to_trust_the/" TargetMode="External"/><Relationship Id="rId54" Type="http://schemas.openxmlformats.org/officeDocument/2006/relationships/hyperlink" Target="https://www.reddit.com/r/SingaporeRaw/comments/1iwqp6k/mother_speaks_out_on_sons_bullying_on_montfort/" TargetMode="External"/><Relationship Id="rId1" Type="http://schemas.openxmlformats.org/officeDocument/2006/relationships/hyperlink" Target="https://www.reddit.com/r/SingaporeRaw/comments/1d29c1l/bullying_i_was_a_victim_previously/" TargetMode="External"/><Relationship Id="rId6" Type="http://schemas.openxmlformats.org/officeDocument/2006/relationships/hyperlink" Target="https://www.reddit.com/r/askSingapore/comments/1gul7a2/people_who_got_bullied_during_school_days_where/" TargetMode="External"/><Relationship Id="rId15" Type="http://schemas.openxmlformats.org/officeDocument/2006/relationships/hyperlink" Target="https://www.reddit.com/r/askSingapore/comments/1gul7a2/people_who_got_bullied_during_school_days_where/" TargetMode="External"/><Relationship Id="rId23" Type="http://schemas.openxmlformats.org/officeDocument/2006/relationships/hyperlink" Target="https://www.reddit.com/r/askSingapore/comments/1onzzhj/is_it_just_me_or_is_bullying_more_serious_now/" TargetMode="External"/><Relationship Id="rId28" Type="http://schemas.openxmlformats.org/officeDocument/2006/relationships/hyperlink" Target="https://www.reddit.com/r/askSingapore/comments/1gul7a2/people_who_got_bullied_during_school_days_where/" TargetMode="External"/><Relationship Id="rId36" Type="http://schemas.openxmlformats.org/officeDocument/2006/relationships/hyperlink" Target="https://www.reddit.com/r/askSingapore/comments/1gul7a2/people_who_got_bullied_during_school_days_where/" TargetMode="External"/><Relationship Id="rId49" Type="http://schemas.openxmlformats.org/officeDocument/2006/relationships/hyperlink" Target="https://www.reddit.com/r/askSingapore/comments/1gul7a2/people_who_got_bullied_during_school_days_wher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3"/>
  <sheetViews>
    <sheetView workbookViewId="0">
      <pane ySplit="1" topLeftCell="A8" activePane="bottomLeft" state="frozen"/>
      <selection pane="bottomLeft" activeCell="B103" sqref="B103"/>
    </sheetView>
  </sheetViews>
  <sheetFormatPr defaultRowHeight="14.4"/>
  <cols>
    <col min="1" max="1" width="9.109375" style="2"/>
    <col min="2" max="2" width="28.6640625" style="2" customWidth="1"/>
    <col min="3" max="3" width="126.6640625" style="21" customWidth="1"/>
    <col min="4" max="4" width="67.88671875" style="21" customWidth="1"/>
    <col min="5" max="5" width="25.33203125" style="2" customWidth="1"/>
    <col min="6" max="6" width="20.44140625" style="2" customWidth="1"/>
    <col min="7" max="7" width="50.109375" style="2" customWidth="1"/>
    <col min="8" max="8" width="37.6640625" style="3" customWidth="1"/>
  </cols>
  <sheetData>
    <row r="1" spans="1:8" s="1" customFormat="1" ht="19.5" customHeight="1">
      <c r="A1" s="12" t="s">
        <v>0</v>
      </c>
      <c r="B1" s="12" t="s">
        <v>1</v>
      </c>
      <c r="C1" s="14" t="s">
        <v>2</v>
      </c>
      <c r="D1" s="14" t="s">
        <v>3</v>
      </c>
      <c r="E1" s="12" t="s">
        <v>4</v>
      </c>
      <c r="F1" s="12" t="s">
        <v>5</v>
      </c>
      <c r="G1" s="12" t="s">
        <v>6</v>
      </c>
      <c r="H1" s="13" t="s">
        <v>7</v>
      </c>
    </row>
    <row r="2" spans="1:8" ht="135" customHeight="1">
      <c r="A2" s="2">
        <v>1</v>
      </c>
      <c r="B2" s="24"/>
      <c r="C2" s="15" t="s">
        <v>8</v>
      </c>
      <c r="D2" s="15"/>
      <c r="E2" s="5" t="s">
        <v>9</v>
      </c>
      <c r="F2" s="6" t="s">
        <v>10</v>
      </c>
      <c r="G2" s="6" t="s">
        <v>11</v>
      </c>
      <c r="H2" s="4"/>
    </row>
    <row r="3" spans="1:8" ht="41.4">
      <c r="A3" s="2">
        <v>2</v>
      </c>
      <c r="B3" s="24"/>
      <c r="C3" s="15" t="s">
        <v>12</v>
      </c>
      <c r="D3" s="15"/>
      <c r="E3" s="5" t="s">
        <v>9</v>
      </c>
      <c r="F3" s="6" t="s">
        <v>10</v>
      </c>
      <c r="G3" s="6" t="s">
        <v>11</v>
      </c>
      <c r="H3" s="4"/>
    </row>
    <row r="4" spans="1:8" ht="69">
      <c r="A4" s="2">
        <v>3</v>
      </c>
      <c r="B4" s="24"/>
      <c r="C4" s="16" t="s">
        <v>13</v>
      </c>
      <c r="D4" s="16"/>
      <c r="E4" s="5" t="s">
        <v>14</v>
      </c>
      <c r="F4" s="6" t="s">
        <v>10</v>
      </c>
      <c r="G4" s="6" t="s">
        <v>11</v>
      </c>
      <c r="H4" s="4"/>
    </row>
    <row r="5" spans="1:8" ht="105">
      <c r="A5" s="2">
        <v>4</v>
      </c>
      <c r="B5" s="24"/>
      <c r="C5" s="17" t="s">
        <v>15</v>
      </c>
      <c r="D5" s="17"/>
      <c r="E5" s="5" t="s">
        <v>9</v>
      </c>
      <c r="F5" s="6" t="s">
        <v>16</v>
      </c>
      <c r="G5" s="6" t="s">
        <v>17</v>
      </c>
      <c r="H5" s="4"/>
    </row>
    <row r="6" spans="1:8" ht="285">
      <c r="A6" s="2">
        <v>5</v>
      </c>
      <c r="B6" s="24"/>
      <c r="C6" s="17" t="s">
        <v>18</v>
      </c>
      <c r="D6" s="17"/>
      <c r="E6" s="8" t="s">
        <v>14</v>
      </c>
      <c r="F6" s="6" t="s">
        <v>10</v>
      </c>
      <c r="G6" s="6" t="s">
        <v>11</v>
      </c>
      <c r="H6" s="4"/>
    </row>
    <row r="7" spans="1:8" ht="105">
      <c r="A7" s="2">
        <v>6</v>
      </c>
      <c r="B7" s="24"/>
      <c r="C7" s="17" t="s">
        <v>19</v>
      </c>
      <c r="D7" s="17"/>
      <c r="E7" s="8" t="s">
        <v>10</v>
      </c>
      <c r="F7" s="6" t="s">
        <v>10</v>
      </c>
      <c r="G7" s="6" t="s">
        <v>17</v>
      </c>
      <c r="H7" s="4"/>
    </row>
    <row r="8" spans="1:8" ht="75">
      <c r="A8" s="2">
        <v>7</v>
      </c>
      <c r="B8" s="24"/>
      <c r="C8" s="17" t="s">
        <v>20</v>
      </c>
      <c r="D8" s="17"/>
      <c r="E8" s="8" t="s">
        <v>9</v>
      </c>
      <c r="F8" s="6" t="s">
        <v>16</v>
      </c>
      <c r="G8" s="6" t="s">
        <v>11</v>
      </c>
      <c r="H8" s="4"/>
    </row>
    <row r="9" spans="1:8" ht="30">
      <c r="A9" s="2">
        <v>8</v>
      </c>
      <c r="B9" s="24"/>
      <c r="C9" s="17" t="s">
        <v>21</v>
      </c>
      <c r="D9" s="17"/>
      <c r="E9" s="8" t="s">
        <v>22</v>
      </c>
      <c r="F9" s="6" t="s">
        <v>22</v>
      </c>
      <c r="G9" s="6"/>
      <c r="H9" s="4"/>
    </row>
    <row r="10" spans="1:8" ht="60">
      <c r="A10" s="2">
        <v>9</v>
      </c>
      <c r="B10" s="24"/>
      <c r="C10" s="17" t="s">
        <v>23</v>
      </c>
      <c r="D10" s="17"/>
      <c r="E10" s="8" t="s">
        <v>16</v>
      </c>
      <c r="F10" s="6" t="s">
        <v>16</v>
      </c>
      <c r="G10" s="6" t="s">
        <v>11</v>
      </c>
      <c r="H10" s="4"/>
    </row>
    <row r="11" spans="1:8" ht="150">
      <c r="A11" s="2">
        <v>10</v>
      </c>
      <c r="B11" s="24"/>
      <c r="C11" s="17" t="s">
        <v>24</v>
      </c>
      <c r="D11" s="17"/>
      <c r="E11" s="8" t="s">
        <v>16</v>
      </c>
      <c r="F11" s="8" t="s">
        <v>14</v>
      </c>
      <c r="G11" s="6" t="s">
        <v>25</v>
      </c>
      <c r="H11" s="4"/>
    </row>
    <row r="12" spans="1:8" ht="225">
      <c r="A12" s="2">
        <v>11</v>
      </c>
      <c r="B12" s="24"/>
      <c r="C12" s="17" t="s">
        <v>26</v>
      </c>
      <c r="D12" s="17"/>
      <c r="E12" s="8" t="s">
        <v>14</v>
      </c>
      <c r="F12" s="6" t="s">
        <v>9</v>
      </c>
      <c r="G12" s="6" t="s">
        <v>27</v>
      </c>
      <c r="H12" s="4"/>
    </row>
    <row r="13" spans="1:8" ht="82.8">
      <c r="A13" s="2">
        <v>12</v>
      </c>
      <c r="B13" s="24"/>
      <c r="C13" s="16" t="s">
        <v>28</v>
      </c>
      <c r="D13" s="16"/>
      <c r="E13" s="7" t="s">
        <v>9</v>
      </c>
      <c r="F13" s="6" t="s">
        <v>9</v>
      </c>
      <c r="G13" s="6" t="s">
        <v>29</v>
      </c>
      <c r="H13" s="4"/>
    </row>
    <row r="14" spans="1:8" ht="69">
      <c r="A14" s="2">
        <v>13</v>
      </c>
      <c r="B14" s="24"/>
      <c r="C14" s="15" t="s">
        <v>30</v>
      </c>
      <c r="D14" s="15"/>
      <c r="E14" s="5" t="s">
        <v>14</v>
      </c>
      <c r="F14" s="6" t="s">
        <v>9</v>
      </c>
      <c r="G14" s="6" t="s">
        <v>29</v>
      </c>
      <c r="H14" s="4"/>
    </row>
    <row r="15" spans="1:8" ht="82.8">
      <c r="A15" s="2">
        <v>14</v>
      </c>
      <c r="B15" s="24"/>
      <c r="C15" s="15" t="s">
        <v>31</v>
      </c>
      <c r="D15" s="15"/>
      <c r="E15" s="5" t="s">
        <v>14</v>
      </c>
      <c r="F15" s="6" t="s">
        <v>32</v>
      </c>
      <c r="G15" s="6" t="s">
        <v>33</v>
      </c>
      <c r="H15" s="4"/>
    </row>
    <row r="16" spans="1:8" ht="41.4">
      <c r="A16" s="2">
        <v>15</v>
      </c>
      <c r="B16" s="24"/>
      <c r="C16" s="15" t="s">
        <v>34</v>
      </c>
      <c r="D16" s="15"/>
      <c r="E16" s="5" t="s">
        <v>16</v>
      </c>
      <c r="F16" s="6" t="s">
        <v>16</v>
      </c>
      <c r="G16" s="6" t="s">
        <v>11</v>
      </c>
      <c r="H16" s="4"/>
    </row>
    <row r="17" spans="1:8" ht="27.6">
      <c r="A17" s="2">
        <v>16</v>
      </c>
      <c r="B17" s="24"/>
      <c r="C17" s="15" t="s">
        <v>35</v>
      </c>
      <c r="D17" s="15"/>
      <c r="E17" s="5" t="s">
        <v>9</v>
      </c>
      <c r="F17" s="6" t="s">
        <v>16</v>
      </c>
      <c r="G17" s="6" t="s">
        <v>36</v>
      </c>
      <c r="H17" s="4"/>
    </row>
    <row r="18" spans="1:8" ht="124.2">
      <c r="A18" s="2">
        <v>17</v>
      </c>
      <c r="B18" s="24"/>
      <c r="C18" s="15" t="s">
        <v>37</v>
      </c>
      <c r="D18" s="15"/>
      <c r="E18" s="5" t="s">
        <v>14</v>
      </c>
      <c r="F18" s="6" t="s">
        <v>32</v>
      </c>
      <c r="G18" s="6" t="s">
        <v>36</v>
      </c>
      <c r="H18" s="4"/>
    </row>
    <row r="19" spans="1:8" ht="69">
      <c r="A19" s="2">
        <v>18</v>
      </c>
      <c r="B19" s="24"/>
      <c r="C19" s="15" t="s">
        <v>38</v>
      </c>
      <c r="D19" s="15"/>
      <c r="E19" s="5" t="s">
        <v>22</v>
      </c>
      <c r="F19" s="6" t="s">
        <v>32</v>
      </c>
      <c r="G19" s="6" t="s">
        <v>39</v>
      </c>
      <c r="H19" s="4"/>
    </row>
    <row r="20" spans="1:8" ht="207">
      <c r="A20" s="2">
        <v>19</v>
      </c>
      <c r="B20" s="24"/>
      <c r="C20" s="15" t="s">
        <v>40</v>
      </c>
      <c r="D20" s="15"/>
      <c r="E20" s="5" t="s">
        <v>14</v>
      </c>
      <c r="F20" s="6" t="s">
        <v>14</v>
      </c>
      <c r="G20" s="6" t="s">
        <v>41</v>
      </c>
      <c r="H20" s="4"/>
    </row>
    <row r="21" spans="1:8" ht="96.6">
      <c r="A21" s="2">
        <v>20</v>
      </c>
      <c r="B21" s="24"/>
      <c r="C21" s="15" t="s">
        <v>42</v>
      </c>
      <c r="D21" s="15"/>
      <c r="E21" s="5" t="s">
        <v>22</v>
      </c>
      <c r="F21" s="6" t="s">
        <v>10</v>
      </c>
      <c r="G21" s="6" t="s">
        <v>27</v>
      </c>
      <c r="H21" s="4"/>
    </row>
    <row r="22" spans="1:8" ht="55.2">
      <c r="A22" s="2">
        <v>21</v>
      </c>
      <c r="B22" s="24"/>
      <c r="C22" s="15" t="s">
        <v>43</v>
      </c>
      <c r="D22" s="15"/>
      <c r="E22" s="5" t="s">
        <v>16</v>
      </c>
      <c r="F22" s="6" t="s">
        <v>44</v>
      </c>
      <c r="G22" s="6" t="s">
        <v>45</v>
      </c>
      <c r="H22" s="4"/>
    </row>
    <row r="23" spans="1:8" ht="82.8">
      <c r="A23" s="2">
        <v>22</v>
      </c>
      <c r="B23" s="24"/>
      <c r="C23" s="15" t="s">
        <v>46</v>
      </c>
      <c r="D23" s="15"/>
      <c r="E23" s="5" t="s">
        <v>14</v>
      </c>
      <c r="F23" s="6" t="s">
        <v>47</v>
      </c>
      <c r="G23" s="6" t="s">
        <v>48</v>
      </c>
      <c r="H23" s="4"/>
    </row>
    <row r="24" spans="1:8" ht="55.2">
      <c r="A24" s="2">
        <v>23</v>
      </c>
      <c r="B24" s="24"/>
      <c r="C24" s="15" t="s">
        <v>49</v>
      </c>
      <c r="D24" s="15"/>
      <c r="E24" s="5" t="s">
        <v>50</v>
      </c>
      <c r="F24" s="6" t="s">
        <v>47</v>
      </c>
      <c r="G24" s="6" t="s">
        <v>51</v>
      </c>
      <c r="H24" s="9" t="s">
        <v>52</v>
      </c>
    </row>
    <row r="25" spans="1:8" ht="69">
      <c r="A25" s="2">
        <v>24</v>
      </c>
      <c r="B25" s="24"/>
      <c r="C25" s="15" t="s">
        <v>53</v>
      </c>
      <c r="D25" s="15"/>
      <c r="E25" s="5" t="s">
        <v>14</v>
      </c>
      <c r="F25" s="6" t="s">
        <v>47</v>
      </c>
      <c r="G25" s="6" t="s">
        <v>54</v>
      </c>
      <c r="H25" s="4"/>
    </row>
    <row r="26" spans="1:8" ht="27.6">
      <c r="A26" s="2">
        <v>25</v>
      </c>
      <c r="B26" s="24"/>
      <c r="C26" s="15" t="s">
        <v>55</v>
      </c>
      <c r="D26" s="15"/>
      <c r="E26" s="5" t="s">
        <v>16</v>
      </c>
      <c r="F26" s="6" t="s">
        <v>56</v>
      </c>
      <c r="G26" s="6" t="s">
        <v>57</v>
      </c>
      <c r="H26" s="4"/>
    </row>
    <row r="27" spans="1:8" ht="69">
      <c r="A27" s="2">
        <v>26</v>
      </c>
      <c r="B27" s="24"/>
      <c r="C27" s="15" t="s">
        <v>58</v>
      </c>
      <c r="D27" s="15"/>
      <c r="E27" s="5" t="s">
        <v>16</v>
      </c>
      <c r="F27" s="6" t="s">
        <v>47</v>
      </c>
      <c r="G27" s="6" t="s">
        <v>59</v>
      </c>
      <c r="H27" s="4"/>
    </row>
    <row r="28" spans="1:8" ht="55.2">
      <c r="A28" s="2">
        <v>27</v>
      </c>
      <c r="B28" s="24"/>
      <c r="C28" s="15" t="s">
        <v>60</v>
      </c>
      <c r="D28" s="15"/>
      <c r="E28" s="5" t="s">
        <v>10</v>
      </c>
      <c r="F28" s="6" t="s">
        <v>61</v>
      </c>
      <c r="G28" s="6" t="s">
        <v>17</v>
      </c>
      <c r="H28" s="4"/>
    </row>
    <row r="29" spans="1:8" ht="55.2">
      <c r="A29" s="2">
        <v>28</v>
      </c>
      <c r="B29" s="24"/>
      <c r="C29" s="15" t="s">
        <v>62</v>
      </c>
      <c r="D29" s="15"/>
      <c r="E29" s="5" t="s">
        <v>16</v>
      </c>
      <c r="F29" s="6" t="s">
        <v>61</v>
      </c>
      <c r="G29" s="6" t="s">
        <v>63</v>
      </c>
      <c r="H29" s="4"/>
    </row>
    <row r="30" spans="1:8" ht="82.8">
      <c r="A30" s="2">
        <v>29</v>
      </c>
      <c r="B30" s="24"/>
      <c r="C30" s="15" t="s">
        <v>64</v>
      </c>
      <c r="D30" s="15"/>
      <c r="E30" s="5" t="s">
        <v>16</v>
      </c>
      <c r="F30" s="6" t="s">
        <v>65</v>
      </c>
      <c r="G30" s="6" t="s">
        <v>66</v>
      </c>
      <c r="H30" s="4"/>
    </row>
    <row r="31" spans="1:8" ht="27.6">
      <c r="A31" s="2">
        <v>30</v>
      </c>
      <c r="B31" s="24"/>
      <c r="C31" s="15" t="s">
        <v>67</v>
      </c>
      <c r="D31" s="15"/>
      <c r="E31" s="5" t="s">
        <v>10</v>
      </c>
      <c r="F31" s="6" t="s">
        <v>44</v>
      </c>
      <c r="G31" s="6"/>
      <c r="H31" s="4"/>
    </row>
    <row r="32" spans="1:8" ht="41.4">
      <c r="A32" s="2">
        <v>31</v>
      </c>
      <c r="B32" s="24"/>
      <c r="C32" s="15" t="s">
        <v>68</v>
      </c>
      <c r="D32" s="15"/>
      <c r="E32" s="5" t="s">
        <v>16</v>
      </c>
      <c r="F32" s="6" t="s">
        <v>56</v>
      </c>
      <c r="G32" s="6"/>
      <c r="H32" s="4"/>
    </row>
    <row r="33" spans="1:8" ht="57.6">
      <c r="A33" s="2">
        <v>32</v>
      </c>
      <c r="B33" s="24"/>
      <c r="C33" s="18" t="s">
        <v>69</v>
      </c>
      <c r="D33" s="18"/>
      <c r="E33" s="4" t="s">
        <v>50</v>
      </c>
      <c r="F33" s="6" t="s">
        <v>44</v>
      </c>
      <c r="G33" s="6"/>
      <c r="H33" s="4"/>
    </row>
    <row r="34" spans="1:8" ht="72">
      <c r="A34" s="2">
        <v>33</v>
      </c>
      <c r="B34" s="24"/>
      <c r="C34" s="19" t="s">
        <v>70</v>
      </c>
      <c r="D34" s="19"/>
      <c r="E34" s="10" t="s">
        <v>71</v>
      </c>
      <c r="F34" s="11" t="s">
        <v>72</v>
      </c>
      <c r="G34" s="11" t="s">
        <v>54</v>
      </c>
      <c r="H34" s="9" t="s">
        <v>73</v>
      </c>
    </row>
    <row r="35" spans="1:8" ht="100.8">
      <c r="A35" s="2">
        <v>34</v>
      </c>
      <c r="B35" s="24"/>
      <c r="C35" s="19" t="s">
        <v>74</v>
      </c>
      <c r="D35" s="19"/>
      <c r="E35" s="10" t="s">
        <v>71</v>
      </c>
      <c r="F35" s="11" t="s">
        <v>75</v>
      </c>
      <c r="G35" s="11" t="s">
        <v>76</v>
      </c>
      <c r="H35" s="9" t="s">
        <v>77</v>
      </c>
    </row>
    <row r="36" spans="1:8" ht="43.2">
      <c r="A36" s="2">
        <v>35</v>
      </c>
      <c r="B36" s="24"/>
      <c r="C36" s="20" t="s">
        <v>78</v>
      </c>
      <c r="D36" s="20"/>
      <c r="E36" s="11" t="s">
        <v>75</v>
      </c>
      <c r="F36" s="11" t="s">
        <v>75</v>
      </c>
      <c r="G36" s="11" t="s">
        <v>54</v>
      </c>
      <c r="H36" s="9" t="s">
        <v>77</v>
      </c>
    </row>
    <row r="37" spans="1:8" ht="43.2">
      <c r="A37" s="2">
        <v>36</v>
      </c>
      <c r="B37" s="24"/>
      <c r="C37" s="20" t="s">
        <v>79</v>
      </c>
      <c r="D37" s="20"/>
      <c r="E37" s="11" t="s">
        <v>72</v>
      </c>
      <c r="F37" s="11" t="s">
        <v>72</v>
      </c>
      <c r="G37" s="11" t="s">
        <v>11</v>
      </c>
      <c r="H37" s="9" t="s">
        <v>80</v>
      </c>
    </row>
    <row r="38" spans="1:8" ht="43.2">
      <c r="A38" s="2">
        <v>37</v>
      </c>
      <c r="B38" s="24"/>
      <c r="C38" s="20" t="s">
        <v>81</v>
      </c>
      <c r="D38" s="20"/>
      <c r="E38" s="11" t="s">
        <v>82</v>
      </c>
      <c r="F38" s="11" t="s">
        <v>82</v>
      </c>
      <c r="G38" s="11" t="s">
        <v>11</v>
      </c>
      <c r="H38" s="9" t="s">
        <v>80</v>
      </c>
    </row>
    <row r="39" spans="1:8" ht="72">
      <c r="A39" s="2">
        <v>38</v>
      </c>
      <c r="B39" s="24"/>
      <c r="C39" s="20" t="s">
        <v>83</v>
      </c>
      <c r="D39" s="20"/>
      <c r="E39" s="11" t="s">
        <v>72</v>
      </c>
      <c r="F39" s="11" t="s">
        <v>72</v>
      </c>
      <c r="G39" s="11" t="s">
        <v>11</v>
      </c>
      <c r="H39" s="9" t="s">
        <v>80</v>
      </c>
    </row>
    <row r="40" spans="1:8" ht="129.6">
      <c r="A40" s="2">
        <v>39</v>
      </c>
      <c r="B40" s="24"/>
      <c r="C40" s="20" t="s">
        <v>84</v>
      </c>
      <c r="D40" s="20"/>
      <c r="E40" s="11" t="s">
        <v>82</v>
      </c>
      <c r="F40" s="11" t="s">
        <v>72</v>
      </c>
      <c r="G40" s="11" t="s">
        <v>27</v>
      </c>
      <c r="H40" s="9" t="s">
        <v>80</v>
      </c>
    </row>
    <row r="41" spans="1:8" ht="43.2">
      <c r="A41" s="2">
        <v>40</v>
      </c>
      <c r="B41" s="24"/>
      <c r="C41" s="20" t="s">
        <v>85</v>
      </c>
      <c r="D41" s="20"/>
      <c r="E41" s="11" t="s">
        <v>82</v>
      </c>
      <c r="F41" s="11" t="s">
        <v>72</v>
      </c>
      <c r="G41" s="11" t="s">
        <v>86</v>
      </c>
      <c r="H41" s="9" t="s">
        <v>80</v>
      </c>
    </row>
    <row r="42" spans="1:8" ht="115.2">
      <c r="A42" s="2">
        <v>41</v>
      </c>
      <c r="B42" s="24"/>
      <c r="C42" s="20" t="s">
        <v>87</v>
      </c>
      <c r="D42" s="20"/>
      <c r="E42" s="11" t="s">
        <v>72</v>
      </c>
      <c r="F42" s="11" t="s">
        <v>72</v>
      </c>
      <c r="G42" s="11" t="s">
        <v>88</v>
      </c>
      <c r="H42" s="9" t="s">
        <v>80</v>
      </c>
    </row>
    <row r="43" spans="1:8" ht="72">
      <c r="A43" s="2">
        <v>42</v>
      </c>
      <c r="B43" s="24"/>
      <c r="C43" s="20" t="s">
        <v>89</v>
      </c>
      <c r="D43" s="20"/>
      <c r="E43" s="11" t="s">
        <v>71</v>
      </c>
      <c r="F43" s="11" t="s">
        <v>75</v>
      </c>
      <c r="G43" s="11" t="s">
        <v>90</v>
      </c>
      <c r="H43" s="9" t="s">
        <v>80</v>
      </c>
    </row>
    <row r="44" spans="1:8" ht="57.6">
      <c r="A44" s="2">
        <v>43</v>
      </c>
      <c r="B44" s="24"/>
      <c r="C44" s="20" t="s">
        <v>91</v>
      </c>
      <c r="D44" s="20"/>
      <c r="E44" s="11" t="s">
        <v>72</v>
      </c>
      <c r="F44" s="11" t="s">
        <v>72</v>
      </c>
      <c r="G44" s="11" t="s">
        <v>86</v>
      </c>
      <c r="H44" s="9" t="s">
        <v>80</v>
      </c>
    </row>
    <row r="45" spans="1:8" ht="43.2">
      <c r="A45" s="2">
        <v>44</v>
      </c>
      <c r="B45" s="24"/>
      <c r="C45" s="20" t="s">
        <v>92</v>
      </c>
      <c r="D45" s="20"/>
      <c r="E45" s="11" t="s">
        <v>71</v>
      </c>
      <c r="F45" s="11" t="s">
        <v>75</v>
      </c>
      <c r="G45" s="11" t="s">
        <v>93</v>
      </c>
      <c r="H45" s="9" t="s">
        <v>80</v>
      </c>
    </row>
    <row r="46" spans="1:8" ht="43.2">
      <c r="A46" s="2">
        <v>45</v>
      </c>
      <c r="B46" s="24"/>
      <c r="C46" s="20" t="s">
        <v>94</v>
      </c>
      <c r="D46" s="20"/>
      <c r="E46" s="11" t="s">
        <v>72</v>
      </c>
      <c r="F46" s="11" t="s">
        <v>72</v>
      </c>
      <c r="G46" s="11" t="s">
        <v>27</v>
      </c>
      <c r="H46" s="9" t="s">
        <v>80</v>
      </c>
    </row>
    <row r="47" spans="1:8" ht="43.2">
      <c r="A47" s="2">
        <v>46</v>
      </c>
      <c r="B47" s="24"/>
      <c r="C47" s="20" t="s">
        <v>95</v>
      </c>
      <c r="D47" s="20"/>
      <c r="E47" s="11" t="s">
        <v>71</v>
      </c>
      <c r="F47" s="11" t="s">
        <v>72</v>
      </c>
      <c r="G47" s="11" t="s">
        <v>54</v>
      </c>
      <c r="H47" s="9" t="s">
        <v>80</v>
      </c>
    </row>
    <row r="48" spans="1:8" ht="57.6">
      <c r="A48" s="2">
        <v>47</v>
      </c>
      <c r="B48" s="24"/>
      <c r="C48" s="20" t="s">
        <v>96</v>
      </c>
      <c r="D48" s="20"/>
      <c r="E48" s="11" t="s">
        <v>72</v>
      </c>
      <c r="F48" s="11" t="s">
        <v>82</v>
      </c>
      <c r="G48" s="11" t="s">
        <v>11</v>
      </c>
      <c r="H48" s="9" t="s">
        <v>80</v>
      </c>
    </row>
    <row r="49" spans="1:8" ht="43.2">
      <c r="A49" s="2">
        <v>48</v>
      </c>
      <c r="B49" s="24"/>
      <c r="C49" s="20" t="s">
        <v>97</v>
      </c>
      <c r="D49" s="20"/>
      <c r="E49" s="11" t="s">
        <v>72</v>
      </c>
      <c r="F49" s="11" t="s">
        <v>82</v>
      </c>
      <c r="G49" s="11" t="s">
        <v>86</v>
      </c>
      <c r="H49" s="9" t="s">
        <v>98</v>
      </c>
    </row>
    <row r="50" spans="1:8" ht="43.2">
      <c r="A50" s="2">
        <v>49</v>
      </c>
      <c r="B50" s="24"/>
      <c r="C50" s="20" t="s">
        <v>99</v>
      </c>
      <c r="D50" s="20"/>
      <c r="E50" s="11" t="s">
        <v>75</v>
      </c>
      <c r="F50" s="11" t="s">
        <v>71</v>
      </c>
      <c r="G50" s="11" t="s">
        <v>100</v>
      </c>
      <c r="H50" s="9" t="s">
        <v>101</v>
      </c>
    </row>
    <row r="51" spans="1:8" ht="43.2">
      <c r="A51" s="2">
        <v>50</v>
      </c>
      <c r="B51" s="24"/>
      <c r="C51" s="20" t="s">
        <v>102</v>
      </c>
      <c r="D51" s="20"/>
      <c r="E51" s="11" t="s">
        <v>82</v>
      </c>
      <c r="F51" s="11" t="s">
        <v>71</v>
      </c>
      <c r="G51" s="11" t="s">
        <v>103</v>
      </c>
      <c r="H51" s="9" t="s">
        <v>101</v>
      </c>
    </row>
    <row r="52" spans="1:8" ht="86.4">
      <c r="A52" s="2">
        <v>51</v>
      </c>
      <c r="B52" s="24"/>
      <c r="C52" s="20" t="s">
        <v>104</v>
      </c>
      <c r="D52" s="20"/>
      <c r="E52" s="11" t="s">
        <v>75</v>
      </c>
      <c r="F52" s="11" t="s">
        <v>75</v>
      </c>
      <c r="G52" s="11" t="s">
        <v>105</v>
      </c>
      <c r="H52" s="9" t="s">
        <v>101</v>
      </c>
    </row>
    <row r="53" spans="1:8" ht="43.2">
      <c r="A53" s="2">
        <v>52</v>
      </c>
      <c r="B53" s="24"/>
      <c r="C53" s="20" t="s">
        <v>106</v>
      </c>
      <c r="D53" s="20"/>
      <c r="E53" s="11" t="s">
        <v>72</v>
      </c>
      <c r="F53" s="11" t="s">
        <v>72</v>
      </c>
      <c r="G53" s="11" t="s">
        <v>107</v>
      </c>
      <c r="H53" s="9" t="s">
        <v>108</v>
      </c>
    </row>
    <row r="54" spans="1:8" ht="57.6">
      <c r="A54" s="2">
        <v>53</v>
      </c>
      <c r="B54" s="24"/>
      <c r="C54" s="20" t="s">
        <v>109</v>
      </c>
      <c r="D54" s="20"/>
      <c r="E54" s="11" t="s">
        <v>72</v>
      </c>
      <c r="F54" s="11" t="s">
        <v>72</v>
      </c>
      <c r="G54" s="11" t="s">
        <v>76</v>
      </c>
      <c r="H54" s="9" t="s">
        <v>108</v>
      </c>
    </row>
    <row r="55" spans="1:8" ht="115.5" customHeight="1">
      <c r="A55" s="2">
        <v>54</v>
      </c>
      <c r="B55" s="24"/>
      <c r="C55" s="18" t="s">
        <v>110</v>
      </c>
      <c r="D55" s="18"/>
      <c r="E55" s="6" t="s">
        <v>71</v>
      </c>
      <c r="F55" s="6" t="s">
        <v>111</v>
      </c>
      <c r="G55" s="6" t="s">
        <v>54</v>
      </c>
      <c r="H55" s="9" t="s">
        <v>112</v>
      </c>
    </row>
    <row r="56" spans="1:8" ht="155.25" customHeight="1">
      <c r="A56" s="2">
        <v>55</v>
      </c>
      <c r="B56" s="24"/>
      <c r="C56" s="18" t="s">
        <v>113</v>
      </c>
      <c r="D56" s="18"/>
      <c r="E56" s="6"/>
      <c r="F56" s="6"/>
      <c r="G56" s="6"/>
      <c r="H56" s="9" t="s">
        <v>114</v>
      </c>
    </row>
    <row r="57" spans="1:8" ht="300.75" customHeight="1">
      <c r="A57" s="2">
        <v>56</v>
      </c>
      <c r="B57" s="24"/>
      <c r="C57" s="18" t="s">
        <v>115</v>
      </c>
      <c r="D57" s="18"/>
      <c r="E57" s="6"/>
      <c r="F57" s="6"/>
      <c r="G57" s="6"/>
      <c r="H57" s="9" t="s">
        <v>116</v>
      </c>
    </row>
    <row r="58" spans="1:8" ht="83.25" customHeight="1">
      <c r="A58" s="2">
        <v>57</v>
      </c>
      <c r="B58" s="24"/>
      <c r="C58" s="18" t="s">
        <v>117</v>
      </c>
      <c r="D58" s="18"/>
      <c r="E58" s="6"/>
      <c r="F58" s="6"/>
      <c r="G58" s="6"/>
      <c r="H58" s="9" t="s">
        <v>118</v>
      </c>
    </row>
    <row r="59" spans="1:8" ht="102.75" customHeight="1">
      <c r="A59" s="2">
        <v>58</v>
      </c>
      <c r="B59" s="24"/>
      <c r="C59" s="18" t="s">
        <v>119</v>
      </c>
      <c r="D59" s="18"/>
      <c r="E59" s="6"/>
      <c r="F59" s="6"/>
      <c r="G59" s="6"/>
      <c r="H59" s="9" t="s">
        <v>120</v>
      </c>
    </row>
    <row r="60" spans="1:8" ht="101.25" customHeight="1">
      <c r="A60">
        <v>59</v>
      </c>
      <c r="B60"/>
      <c r="C60" s="23" t="s">
        <v>121</v>
      </c>
      <c r="D60" s="18"/>
      <c r="E60" s="6"/>
      <c r="F60" s="6"/>
      <c r="G60" s="6"/>
      <c r="H60" s="9" t="s">
        <v>122</v>
      </c>
    </row>
    <row r="61" spans="1:8" ht="72">
      <c r="A61" s="2">
        <v>60</v>
      </c>
      <c r="B61" s="24"/>
      <c r="C61" s="18" t="s">
        <v>123</v>
      </c>
      <c r="D61" s="18"/>
      <c r="E61" s="6"/>
      <c r="F61" s="6"/>
      <c r="G61" s="6"/>
      <c r="H61" s="9" t="s">
        <v>124</v>
      </c>
    </row>
    <row r="62" spans="1:8" ht="43.2">
      <c r="A62" s="2">
        <v>61</v>
      </c>
      <c r="B62" s="24" t="s">
        <v>125</v>
      </c>
      <c r="C62" s="21" t="s">
        <v>126</v>
      </c>
      <c r="E62" s="6"/>
      <c r="F62" s="6"/>
      <c r="G62" s="6"/>
      <c r="H62" s="9" t="s">
        <v>127</v>
      </c>
    </row>
    <row r="63" spans="1:8" ht="43.2">
      <c r="A63" s="2">
        <v>62</v>
      </c>
      <c r="B63" s="24" t="s">
        <v>125</v>
      </c>
      <c r="C63" s="18" t="s">
        <v>128</v>
      </c>
      <c r="D63" s="18"/>
      <c r="E63" s="6"/>
      <c r="F63" s="6"/>
      <c r="G63" s="6"/>
      <c r="H63" s="9" t="s">
        <v>127</v>
      </c>
    </row>
    <row r="64" spans="1:8" ht="43.2">
      <c r="A64" s="2">
        <v>63</v>
      </c>
      <c r="B64" s="24" t="s">
        <v>129</v>
      </c>
      <c r="C64" s="18" t="s">
        <v>130</v>
      </c>
      <c r="D64" s="18"/>
      <c r="E64" s="6"/>
      <c r="F64" s="6"/>
      <c r="G64" s="6"/>
      <c r="H64" s="9" t="s">
        <v>127</v>
      </c>
    </row>
    <row r="65" spans="1:8" ht="43.2">
      <c r="A65" s="2">
        <v>64</v>
      </c>
      <c r="B65" s="24" t="s">
        <v>131</v>
      </c>
      <c r="C65" s="18" t="s">
        <v>132</v>
      </c>
      <c r="D65" s="18"/>
      <c r="E65" s="6"/>
      <c r="F65" s="6"/>
      <c r="G65" s="6"/>
      <c r="H65" s="9" t="s">
        <v>127</v>
      </c>
    </row>
    <row r="66" spans="1:8" ht="43.2">
      <c r="A66" s="2">
        <v>65</v>
      </c>
      <c r="B66" s="24" t="s">
        <v>131</v>
      </c>
      <c r="C66" s="18" t="s">
        <v>133</v>
      </c>
      <c r="D66" s="18"/>
      <c r="E66" s="6"/>
      <c r="F66" s="6"/>
      <c r="G66" s="6"/>
      <c r="H66" s="9" t="s">
        <v>127</v>
      </c>
    </row>
    <row r="67" spans="1:8" ht="43.2">
      <c r="A67" s="2">
        <v>66</v>
      </c>
      <c r="B67" s="24" t="s">
        <v>129</v>
      </c>
      <c r="C67" s="18" t="s">
        <v>134</v>
      </c>
      <c r="D67" s="18"/>
      <c r="E67" s="6"/>
      <c r="F67" s="6"/>
      <c r="G67" s="6"/>
      <c r="H67" s="9" t="s">
        <v>127</v>
      </c>
    </row>
    <row r="68" spans="1:8" ht="43.2">
      <c r="A68" s="2">
        <v>67</v>
      </c>
      <c r="B68" s="24" t="s">
        <v>125</v>
      </c>
      <c r="C68" s="18" t="s">
        <v>135</v>
      </c>
      <c r="D68" s="18"/>
      <c r="E68" s="6"/>
      <c r="F68" s="6"/>
      <c r="G68" s="6"/>
      <c r="H68" s="9" t="s">
        <v>127</v>
      </c>
    </row>
    <row r="69" spans="1:8" ht="43.2">
      <c r="A69" s="2">
        <v>68</v>
      </c>
      <c r="B69" s="24" t="s">
        <v>129</v>
      </c>
      <c r="C69" s="18" t="s">
        <v>136</v>
      </c>
      <c r="D69" s="18"/>
      <c r="E69" s="6"/>
      <c r="F69" s="6"/>
      <c r="G69" s="6"/>
      <c r="H69" s="9" t="s">
        <v>127</v>
      </c>
    </row>
    <row r="70" spans="1:8" ht="43.2">
      <c r="A70" s="2">
        <v>69</v>
      </c>
      <c r="B70" s="24" t="s">
        <v>131</v>
      </c>
      <c r="C70" s="22" t="s">
        <v>137</v>
      </c>
      <c r="D70" s="22"/>
      <c r="E70" s="6"/>
      <c r="F70" s="6"/>
      <c r="G70" s="6"/>
      <c r="H70" s="9" t="s">
        <v>127</v>
      </c>
    </row>
    <row r="71" spans="1:8" ht="43.2">
      <c r="A71" s="2">
        <v>70</v>
      </c>
      <c r="B71" s="24" t="s">
        <v>125</v>
      </c>
      <c r="C71" s="18" t="s">
        <v>138</v>
      </c>
      <c r="D71" s="18"/>
      <c r="E71" s="6"/>
      <c r="F71" s="6"/>
      <c r="G71" s="6"/>
      <c r="H71" s="9" t="s">
        <v>127</v>
      </c>
    </row>
    <row r="72" spans="1:8" ht="43.2">
      <c r="A72" s="2">
        <v>71</v>
      </c>
      <c r="B72" s="24" t="s">
        <v>131</v>
      </c>
      <c r="C72" s="18" t="s">
        <v>139</v>
      </c>
      <c r="D72" s="18"/>
      <c r="E72" s="6"/>
      <c r="F72" s="6"/>
      <c r="G72" s="6"/>
      <c r="H72" s="9" t="s">
        <v>127</v>
      </c>
    </row>
    <row r="73" spans="1:8" ht="43.2">
      <c r="A73" s="2">
        <v>72</v>
      </c>
      <c r="B73" s="24" t="s">
        <v>131</v>
      </c>
      <c r="C73" s="18" t="s">
        <v>140</v>
      </c>
      <c r="D73" s="18"/>
      <c r="E73" s="6"/>
      <c r="F73" s="6"/>
      <c r="G73" s="6"/>
      <c r="H73" s="9" t="s">
        <v>127</v>
      </c>
    </row>
    <row r="74" spans="1:8" ht="57.6">
      <c r="A74" s="2">
        <v>73</v>
      </c>
      <c r="B74" s="24" t="s">
        <v>125</v>
      </c>
      <c r="C74" s="18" t="s">
        <v>141</v>
      </c>
      <c r="D74" s="18"/>
      <c r="E74" s="6"/>
      <c r="F74" s="6"/>
      <c r="G74" s="6"/>
      <c r="H74" s="9" t="s">
        <v>127</v>
      </c>
    </row>
    <row r="75" spans="1:8" ht="43.2">
      <c r="A75" s="2">
        <v>74</v>
      </c>
      <c r="B75" s="24" t="s">
        <v>129</v>
      </c>
      <c r="C75" s="18" t="s">
        <v>142</v>
      </c>
      <c r="D75" s="18"/>
      <c r="E75" s="6"/>
      <c r="F75" s="6"/>
      <c r="G75" s="6"/>
      <c r="H75" s="9" t="s">
        <v>127</v>
      </c>
    </row>
    <row r="76" spans="1:8" ht="43.2">
      <c r="A76" s="2">
        <v>75</v>
      </c>
      <c r="B76" s="24" t="s">
        <v>143</v>
      </c>
      <c r="C76" s="18" t="s">
        <v>144</v>
      </c>
      <c r="D76" s="18"/>
      <c r="E76" s="6"/>
      <c r="F76" s="6"/>
      <c r="G76" s="6"/>
      <c r="H76" s="9" t="s">
        <v>127</v>
      </c>
    </row>
    <row r="77" spans="1:8" ht="43.2">
      <c r="A77" s="2">
        <v>76</v>
      </c>
      <c r="B77" s="24" t="s">
        <v>131</v>
      </c>
      <c r="C77" s="18" t="s">
        <v>145</v>
      </c>
      <c r="D77" s="18"/>
      <c r="E77" s="6"/>
      <c r="F77" s="6"/>
      <c r="G77" s="6"/>
      <c r="H77" s="9" t="s">
        <v>127</v>
      </c>
    </row>
    <row r="78" spans="1:8" ht="72">
      <c r="A78" s="2">
        <v>77</v>
      </c>
      <c r="B78" s="24" t="s">
        <v>129</v>
      </c>
      <c r="C78" s="18" t="s">
        <v>146</v>
      </c>
      <c r="D78" s="18"/>
      <c r="E78" s="6"/>
      <c r="F78" s="6"/>
      <c r="G78" s="6"/>
      <c r="H78" s="9" t="s">
        <v>127</v>
      </c>
    </row>
    <row r="79" spans="1:8" ht="57.6">
      <c r="A79" s="2">
        <v>78</v>
      </c>
      <c r="B79" s="24" t="s">
        <v>125</v>
      </c>
      <c r="C79" s="18" t="s">
        <v>147</v>
      </c>
      <c r="D79" s="18"/>
      <c r="E79" s="6"/>
      <c r="F79" s="6"/>
      <c r="G79" s="6"/>
      <c r="H79" s="9" t="s">
        <v>127</v>
      </c>
    </row>
    <row r="80" spans="1:8" ht="33.75" customHeight="1">
      <c r="A80" s="2">
        <v>79</v>
      </c>
      <c r="B80" s="24" t="s">
        <v>143</v>
      </c>
      <c r="C80" s="18" t="s">
        <v>148</v>
      </c>
      <c r="D80" s="18"/>
      <c r="E80" s="6"/>
      <c r="F80" s="6"/>
      <c r="G80" s="6"/>
      <c r="H80" s="9" t="s">
        <v>127</v>
      </c>
    </row>
    <row r="81" spans="1:8" ht="86.4">
      <c r="A81" s="2">
        <v>80</v>
      </c>
      <c r="B81" s="24" t="s">
        <v>129</v>
      </c>
      <c r="C81" s="18" t="s">
        <v>149</v>
      </c>
      <c r="D81" s="18"/>
      <c r="E81" s="6"/>
      <c r="F81" s="6"/>
      <c r="G81" s="6"/>
      <c r="H81" s="9" t="s">
        <v>127</v>
      </c>
    </row>
    <row r="82" spans="1:8" ht="57.6">
      <c r="A82" s="2">
        <v>81</v>
      </c>
      <c r="B82" s="24" t="s">
        <v>143</v>
      </c>
      <c r="C82" s="18" t="s">
        <v>150</v>
      </c>
      <c r="D82" s="18"/>
      <c r="E82" s="6"/>
      <c r="F82" s="6"/>
      <c r="G82" s="6"/>
      <c r="H82" s="9" t="s">
        <v>52</v>
      </c>
    </row>
    <row r="83" spans="1:8" ht="57.6">
      <c r="A83" s="2">
        <v>82</v>
      </c>
      <c r="B83" s="24" t="s">
        <v>143</v>
      </c>
      <c r="C83" s="18" t="s">
        <v>151</v>
      </c>
      <c r="D83" s="18"/>
      <c r="E83" s="6"/>
      <c r="F83" s="6"/>
      <c r="G83" s="6"/>
      <c r="H83" s="9" t="s">
        <v>52</v>
      </c>
    </row>
    <row r="84" spans="1:8" ht="43.2">
      <c r="A84" s="2">
        <v>83</v>
      </c>
      <c r="B84" s="24" t="s">
        <v>129</v>
      </c>
      <c r="C84" s="18" t="s">
        <v>152</v>
      </c>
      <c r="D84" s="18"/>
      <c r="E84" s="6"/>
      <c r="F84" s="6"/>
      <c r="G84" s="6"/>
      <c r="H84" s="9" t="s">
        <v>127</v>
      </c>
    </row>
    <row r="85" spans="1:8" ht="43.2">
      <c r="A85" s="2">
        <v>84</v>
      </c>
      <c r="B85" s="24" t="s">
        <v>143</v>
      </c>
      <c r="C85" s="18" t="s">
        <v>153</v>
      </c>
      <c r="D85" s="18"/>
      <c r="E85" s="6"/>
      <c r="F85" s="6"/>
      <c r="G85" s="6"/>
      <c r="H85" s="9" t="s">
        <v>127</v>
      </c>
    </row>
    <row r="86" spans="1:8" ht="43.2">
      <c r="A86" s="2">
        <v>85</v>
      </c>
      <c r="B86" s="24" t="s">
        <v>131</v>
      </c>
      <c r="C86" s="18" t="s">
        <v>154</v>
      </c>
      <c r="D86" s="32" t="s">
        <v>155</v>
      </c>
      <c r="E86" s="6"/>
      <c r="F86" s="6"/>
      <c r="G86" s="6"/>
      <c r="H86" s="9" t="s">
        <v>127</v>
      </c>
    </row>
    <row r="87" spans="1:8" ht="57.6">
      <c r="A87" s="2">
        <v>86</v>
      </c>
      <c r="B87" s="24" t="s">
        <v>129</v>
      </c>
      <c r="C87" s="18" t="s">
        <v>156</v>
      </c>
      <c r="D87" s="18"/>
      <c r="E87" s="6"/>
      <c r="F87" s="6"/>
      <c r="G87" s="6"/>
      <c r="H87" s="9" t="s">
        <v>127</v>
      </c>
    </row>
    <row r="88" spans="1:8" ht="244.8">
      <c r="A88" s="2">
        <v>87</v>
      </c>
      <c r="B88" s="24"/>
      <c r="C88" s="18" t="s">
        <v>157</v>
      </c>
      <c r="D88" s="18"/>
      <c r="E88" s="6"/>
      <c r="F88" s="6"/>
      <c r="G88" s="6"/>
      <c r="H88" s="9" t="s">
        <v>158</v>
      </c>
    </row>
    <row r="89" spans="1:8" ht="72">
      <c r="A89" s="2">
        <v>88</v>
      </c>
      <c r="B89" s="24"/>
      <c r="C89" s="18" t="s">
        <v>159</v>
      </c>
      <c r="D89" s="18"/>
      <c r="E89" s="6"/>
      <c r="F89" s="6"/>
      <c r="G89" s="6"/>
      <c r="H89" s="9" t="s">
        <v>160</v>
      </c>
    </row>
    <row r="90" spans="1:8" ht="72">
      <c r="A90" s="2">
        <v>89</v>
      </c>
      <c r="B90" s="24"/>
      <c r="C90" s="18" t="s">
        <v>161</v>
      </c>
      <c r="D90" s="18"/>
      <c r="E90" s="6"/>
      <c r="F90" s="6"/>
      <c r="G90" s="6"/>
      <c r="H90" s="9" t="s">
        <v>162</v>
      </c>
    </row>
    <row r="91" spans="1:8" ht="71.25" customHeight="1">
      <c r="A91" s="2">
        <v>90</v>
      </c>
      <c r="B91" s="24"/>
      <c r="C91" s="18" t="s">
        <v>163</v>
      </c>
      <c r="D91" s="18"/>
      <c r="E91" s="6"/>
      <c r="F91" s="6"/>
      <c r="G91" s="6"/>
      <c r="H91" s="9" t="s">
        <v>164</v>
      </c>
    </row>
    <row r="92" spans="1:8" ht="58.5" customHeight="1">
      <c r="A92" s="2">
        <v>91</v>
      </c>
      <c r="B92" s="24"/>
      <c r="C92" s="18" t="s">
        <v>165</v>
      </c>
      <c r="D92" s="18"/>
      <c r="E92" s="6"/>
      <c r="F92" s="6"/>
      <c r="G92" s="6"/>
      <c r="H92" s="9" t="s">
        <v>158</v>
      </c>
    </row>
    <row r="93" spans="1:8" ht="115.2">
      <c r="A93" s="2">
        <v>92</v>
      </c>
      <c r="B93" s="24"/>
      <c r="C93" s="18" t="s">
        <v>166</v>
      </c>
      <c r="D93" s="18"/>
      <c r="E93" s="6"/>
      <c r="F93" s="6"/>
      <c r="G93" s="6"/>
      <c r="H93" s="9" t="s">
        <v>167</v>
      </c>
    </row>
    <row r="94" spans="1:8" ht="102.75" customHeight="1">
      <c r="A94" s="2">
        <v>93</v>
      </c>
      <c r="B94" s="24"/>
      <c r="C94" s="18" t="s">
        <v>168</v>
      </c>
      <c r="D94" s="18"/>
      <c r="E94" s="6"/>
      <c r="F94" s="6"/>
      <c r="G94" s="6"/>
      <c r="H94" s="9" t="s">
        <v>169</v>
      </c>
    </row>
    <row r="95" spans="1:8" ht="158.4">
      <c r="A95" s="2">
        <v>94</v>
      </c>
      <c r="B95" s="24"/>
      <c r="C95" s="18" t="s">
        <v>170</v>
      </c>
      <c r="D95" s="18"/>
      <c r="E95" s="6"/>
      <c r="F95" s="6"/>
      <c r="G95" s="6"/>
      <c r="H95" s="9" t="s">
        <v>158</v>
      </c>
    </row>
    <row r="96" spans="1:8" ht="78.75" customHeight="1">
      <c r="A96" s="2">
        <v>95</v>
      </c>
      <c r="B96" s="24"/>
      <c r="C96" s="18" t="s">
        <v>171</v>
      </c>
      <c r="D96" s="18"/>
      <c r="E96" s="6"/>
      <c r="F96" s="6"/>
      <c r="G96" s="6"/>
      <c r="H96" s="9" t="s">
        <v>172</v>
      </c>
    </row>
    <row r="97" spans="1:8" ht="62.25" customHeight="1">
      <c r="A97" s="2">
        <v>96</v>
      </c>
      <c r="B97" s="24"/>
      <c r="C97" s="18" t="s">
        <v>173</v>
      </c>
      <c r="D97" s="18"/>
      <c r="E97" s="6"/>
      <c r="F97" s="6"/>
      <c r="G97" s="6"/>
      <c r="H97" s="9" t="s">
        <v>158</v>
      </c>
    </row>
    <row r="98" spans="1:8" ht="100.8">
      <c r="A98" s="2">
        <v>97</v>
      </c>
      <c r="B98" s="24"/>
      <c r="C98" s="18" t="s">
        <v>174</v>
      </c>
      <c r="D98" s="18"/>
      <c r="E98" s="6"/>
      <c r="F98" s="6"/>
      <c r="G98" s="6"/>
      <c r="H98" s="9" t="s">
        <v>175</v>
      </c>
    </row>
    <row r="99" spans="1:8" ht="64.5" customHeight="1">
      <c r="A99" s="2">
        <v>98</v>
      </c>
      <c r="B99" s="24"/>
      <c r="C99" s="18" t="s">
        <v>176</v>
      </c>
      <c r="D99" s="18"/>
      <c r="E99" s="6"/>
      <c r="F99" s="6"/>
      <c r="G99" s="6"/>
      <c r="H99" s="9" t="s">
        <v>177</v>
      </c>
    </row>
    <row r="100" spans="1:8" ht="129.75" customHeight="1">
      <c r="A100" s="2">
        <v>99</v>
      </c>
      <c r="B100" s="24"/>
      <c r="C100" s="18" t="s">
        <v>178</v>
      </c>
      <c r="D100" s="18"/>
      <c r="E100" s="6"/>
      <c r="F100" s="6"/>
      <c r="G100" s="6"/>
      <c r="H100" s="9" t="s">
        <v>179</v>
      </c>
    </row>
    <row r="101" spans="1:8" ht="84" customHeight="1">
      <c r="A101" s="2">
        <v>100</v>
      </c>
      <c r="B101" s="24"/>
      <c r="C101" s="21" t="s">
        <v>180</v>
      </c>
      <c r="H101" s="31" t="s">
        <v>181</v>
      </c>
    </row>
    <row r="102" spans="1:8" ht="115.2">
      <c r="A102" s="2">
        <v>101</v>
      </c>
      <c r="B102" s="2" t="s">
        <v>131</v>
      </c>
      <c r="C102" s="21" t="s">
        <v>182</v>
      </c>
    </row>
    <row r="103" spans="1:8">
      <c r="A103" s="2">
        <v>102</v>
      </c>
      <c r="B103" s="24" t="s">
        <v>125</v>
      </c>
      <c r="C103" s="21" t="s">
        <v>183</v>
      </c>
    </row>
  </sheetData>
  <dataValidations count="1">
    <dataValidation type="list" showInputMessage="1" showErrorMessage="1" promptTitle="How often has this occured?" sqref="B2:B101 B103" xr:uid="{22A72093-3DE5-4C89-87E5-8D76F59C75D5}">
      <formula1>"One-off, Irregular but more than once, Regular like weekly, All the time"</formula1>
    </dataValidation>
  </dataValidations>
  <hyperlinks>
    <hyperlink ref="H24" r:id="rId1" xr:uid="{7C05D4D4-851B-42D4-9533-F32D8786A8B5}"/>
    <hyperlink ref="H34" r:id="rId2" xr:uid="{30675000-30CC-4707-B54C-EC058175E789}"/>
    <hyperlink ref="H35" r:id="rId3" xr:uid="{C1ACB49B-96B4-48A1-9BCB-192FA1B45CEE}"/>
    <hyperlink ref="H36" r:id="rId4" xr:uid="{8DF90AFB-8938-4992-9D57-55877C6D490D}"/>
    <hyperlink ref="H37" r:id="rId5" xr:uid="{42582CAC-CF6D-45A9-B6C6-F0A97CC10B66}"/>
    <hyperlink ref="H38" r:id="rId6" xr:uid="{EDD08C99-4324-45FC-90A1-C094397BECD4}"/>
    <hyperlink ref="H39" r:id="rId7" xr:uid="{BBB829DB-BE3B-4083-94AD-F28742BE425F}"/>
    <hyperlink ref="H40" r:id="rId8" xr:uid="{04C2D56D-F29C-44CA-9CFD-8A8D1724C3AD}"/>
    <hyperlink ref="H41" r:id="rId9" xr:uid="{2EA42399-46A6-4CAA-B03D-9322B7321410}"/>
    <hyperlink ref="H42" r:id="rId10" xr:uid="{80031CBA-D652-4D39-B9B2-88334B4A5B14}"/>
    <hyperlink ref="H43" r:id="rId11" xr:uid="{0EC7F106-1E62-4915-9B07-006E1EA39A8D}"/>
    <hyperlink ref="H44" r:id="rId12" xr:uid="{2B0436B9-72B6-4979-B5FD-2FAA84B8D77F}"/>
    <hyperlink ref="H45" r:id="rId13" xr:uid="{C8CAB90A-23CD-4CEC-AE1E-31023FFEFC4D}"/>
    <hyperlink ref="H46" r:id="rId14" xr:uid="{37072C05-8DDD-48B0-A9A4-C141DC713077}"/>
    <hyperlink ref="H47" r:id="rId15" xr:uid="{72013513-EADB-44D0-87E2-0C7BD9E163C7}"/>
    <hyperlink ref="H48" r:id="rId16" xr:uid="{A3AE42BA-9E48-4251-831F-069E8578FCDD}"/>
    <hyperlink ref="H49" r:id="rId17" xr:uid="{25A5A9D7-7ED9-44AF-AB4A-0644DE7DDECD}"/>
    <hyperlink ref="H50" r:id="rId18" xr:uid="{17E42A10-0892-4098-B898-6BC6B2731811}"/>
    <hyperlink ref="H51" r:id="rId19" xr:uid="{DD0FDAB8-50BE-4B05-8882-FDE5630F746E}"/>
    <hyperlink ref="H52" r:id="rId20" xr:uid="{998EE2AD-F3C4-474F-A2E7-7EC24213EF31}"/>
    <hyperlink ref="H53" r:id="rId21" xr:uid="{D5931AA3-D6B8-45A3-BDF1-3C5257A1E60B}"/>
    <hyperlink ref="H54" r:id="rId22" xr:uid="{4AC45ECB-BE79-4DFA-9127-406122B5A5B3}"/>
    <hyperlink ref="H55" r:id="rId23" xr:uid="{39C67C33-659B-4839-8510-DEC17B1DB6DC}"/>
    <hyperlink ref="H56" r:id="rId24" xr:uid="{17C024DD-6E15-409A-8762-A2F9DC9F2AB2}"/>
    <hyperlink ref="H57" r:id="rId25" xr:uid="{2AE5EE5D-11BE-41CB-89F6-A2F273BB7D0C}"/>
    <hyperlink ref="H58" r:id="rId26" xr:uid="{6F1E0FCB-04CB-4FAD-8C7D-5D9BFA3E4FFC}"/>
    <hyperlink ref="H59" r:id="rId27" xr:uid="{79EB2663-AAEB-4584-84E2-EA9DA5585B3A}"/>
    <hyperlink ref="H63:H81" r:id="rId28" display="https://www.reddit.com/r/singapore/comments/7mk5ft/share_your_being_bullied_or_even_bullying_stories/" xr:uid="{6E8EA4D4-C650-4728-8994-1B38DA1CDC36}"/>
    <hyperlink ref="H62" r:id="rId29" xr:uid="{B8C80FAC-7016-45C1-89AC-3DF63216AABA}"/>
    <hyperlink ref="H60" r:id="rId30" xr:uid="{1B67C20E-6AB6-4B67-B6C7-CBE1AEB94F2E}"/>
    <hyperlink ref="H61" r:id="rId31" xr:uid="{2A352067-4A70-4698-A370-FC2D957E3D5E}"/>
    <hyperlink ref="H91" r:id="rId32" xr:uid="{DC5613F0-259B-4C85-866F-B4F07AA0FA4D}"/>
    <hyperlink ref="H92" r:id="rId33" xr:uid="{8FC15844-3E34-4535-817C-33B40F7F673B}"/>
    <hyperlink ref="H93" r:id="rId34" xr:uid="{40E5FB4E-D4EB-4E2B-A35C-5AE8D1DF4F22}"/>
    <hyperlink ref="H94" r:id="rId35" xr:uid="{D4514490-20E4-40FC-AED0-357B921138DB}"/>
    <hyperlink ref="H95" r:id="rId36" xr:uid="{A941088E-D431-4E30-901E-CA1CF6775068}"/>
    <hyperlink ref="H96" r:id="rId37" xr:uid="{AAB85393-DC48-4961-8042-061B15EF8369}"/>
    <hyperlink ref="H97" r:id="rId38" xr:uid="{C66C15D5-E645-4C4D-BDEC-AB40B542C058}"/>
    <hyperlink ref="H98" r:id="rId39" xr:uid="{101D0C1E-439E-4754-90CD-ACF0DF8AF0DF}"/>
    <hyperlink ref="H99" r:id="rId40" xr:uid="{22FC5AAE-0FBB-4E29-B0DD-D9A98B0487EF}"/>
    <hyperlink ref="H100" r:id="rId41" xr:uid="{43B7E09A-1725-4A6B-BD20-FFDF8A042938}"/>
    <hyperlink ref="H101" r:id="rId42" xr:uid="{1FBD49FE-DC83-4C80-93CF-EA4CE5857EA4}"/>
    <hyperlink ref="H84" r:id="rId43" xr:uid="{CEE1F433-402F-4B91-8D32-CBD4BE14EA26}"/>
    <hyperlink ref="H90" r:id="rId44" xr:uid="{EEA80353-0E82-400C-8079-E53806699170}"/>
    <hyperlink ref="H89" r:id="rId45" xr:uid="{108CAE57-9927-4ED7-9F4D-0118001D7389}"/>
    <hyperlink ref="H88" r:id="rId46" xr:uid="{9835253A-372D-47B3-AFF2-C972C7B31B8B}"/>
    <hyperlink ref="H85" r:id="rId47" xr:uid="{7260BB0B-6107-4B58-8879-C759EDBBB7F1}"/>
    <hyperlink ref="H86:H87" r:id="rId48" display="https://www.reddit.com/r/singapore/comments/7mk5ft/share_your_being_bullied_or_even_bullying_stories/" xr:uid="{E7510590-2B81-4A4F-B9DC-877448569818}"/>
    <hyperlink ref="H82:H83" r:id="rId49" display="https://www.reddit.com/r/singapore/comments/keyiiq/sporean_13_overdosed_on_painkillers_after_school/" xr:uid="{065E355C-4646-4EDA-B43E-166A48371B18}"/>
  </hyperlinks>
  <pageMargins left="0.7" right="0.7" top="0.75" bottom="0.75" header="0.3" footer="0.3"/>
  <legacyDrawing r:id="rId5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BFFC9-0AA8-4108-9A9F-1E49754EB3CA}">
  <dimension ref="A1:C447"/>
  <sheetViews>
    <sheetView tabSelected="1" workbookViewId="0">
      <selection activeCell="D1" sqref="D1"/>
    </sheetView>
  </sheetViews>
  <sheetFormatPr defaultRowHeight="14.4"/>
  <cols>
    <col min="1" max="1" width="27" style="23" customWidth="1"/>
    <col min="2" max="2" width="46.109375" style="23" customWidth="1"/>
    <col min="3" max="3" width="23.88671875" style="23" customWidth="1"/>
  </cols>
  <sheetData>
    <row r="1" spans="1:3" ht="18.75" customHeight="1">
      <c r="A1" s="13" t="s">
        <v>184</v>
      </c>
      <c r="B1" s="14" t="s">
        <v>185</v>
      </c>
      <c r="C1" s="68" t="s">
        <v>186</v>
      </c>
    </row>
    <row r="2" spans="1:3" ht="158.4">
      <c r="A2" s="3">
        <v>4</v>
      </c>
      <c r="B2" s="3" t="s">
        <v>187</v>
      </c>
      <c r="C2" s="23">
        <v>1</v>
      </c>
    </row>
    <row r="3" spans="1:3" ht="158.4">
      <c r="A3" s="3">
        <v>4</v>
      </c>
      <c r="B3" s="3" t="s">
        <v>188</v>
      </c>
      <c r="C3" s="23">
        <v>1</v>
      </c>
    </row>
    <row r="4" spans="1:3" ht="158.4">
      <c r="A4" s="3">
        <v>4</v>
      </c>
      <c r="B4" s="3" t="s">
        <v>189</v>
      </c>
      <c r="C4" s="23">
        <v>4</v>
      </c>
    </row>
    <row r="5" spans="1:3" ht="144">
      <c r="A5" s="3">
        <v>4</v>
      </c>
      <c r="B5" s="3" t="s">
        <v>190</v>
      </c>
      <c r="C5" s="23">
        <v>4</v>
      </c>
    </row>
    <row r="6" spans="1:3" ht="129.6">
      <c r="A6" s="3">
        <v>3</v>
      </c>
      <c r="B6" s="3" t="s">
        <v>191</v>
      </c>
      <c r="C6" s="23">
        <v>4</v>
      </c>
    </row>
    <row r="7" spans="1:3" ht="115.2">
      <c r="A7" s="3">
        <v>3</v>
      </c>
      <c r="B7" s="3" t="s">
        <v>192</v>
      </c>
      <c r="C7" s="23">
        <v>4</v>
      </c>
    </row>
    <row r="8" spans="1:3" ht="100.8">
      <c r="A8" s="3">
        <v>3</v>
      </c>
      <c r="B8" s="3" t="s">
        <v>193</v>
      </c>
      <c r="C8" s="23">
        <v>4</v>
      </c>
    </row>
    <row r="9" spans="1:3" ht="129.6">
      <c r="A9" s="3">
        <v>3</v>
      </c>
      <c r="B9" s="3" t="s">
        <v>194</v>
      </c>
      <c r="C9" s="23">
        <v>3</v>
      </c>
    </row>
    <row r="10" spans="1:3" ht="72">
      <c r="A10" s="3">
        <v>3</v>
      </c>
      <c r="B10" s="3" t="s">
        <v>195</v>
      </c>
      <c r="C10" s="23">
        <v>3</v>
      </c>
    </row>
    <row r="11" spans="1:3" ht="129.6">
      <c r="A11" s="3">
        <v>4</v>
      </c>
      <c r="B11" s="3" t="s">
        <v>196</v>
      </c>
      <c r="C11" s="23">
        <v>3</v>
      </c>
    </row>
    <row r="12" spans="1:3" ht="100.8">
      <c r="A12" s="3">
        <v>4</v>
      </c>
      <c r="B12" s="42" t="s">
        <v>197</v>
      </c>
      <c r="C12" s="23">
        <v>2</v>
      </c>
    </row>
    <row r="13" spans="1:3" ht="144">
      <c r="A13" s="3">
        <v>4</v>
      </c>
      <c r="B13" s="3" t="s">
        <v>198</v>
      </c>
      <c r="C13" s="23">
        <v>3</v>
      </c>
    </row>
    <row r="14" spans="1:3" ht="129.6">
      <c r="A14" s="3">
        <v>4</v>
      </c>
      <c r="B14" s="3" t="s">
        <v>199</v>
      </c>
      <c r="C14" s="23">
        <v>3</v>
      </c>
    </row>
    <row r="15" spans="1:3" ht="72">
      <c r="A15" s="3">
        <v>4</v>
      </c>
      <c r="B15" s="3" t="s">
        <v>200</v>
      </c>
      <c r="C15" s="23">
        <v>2</v>
      </c>
    </row>
    <row r="16" spans="1:3" ht="72">
      <c r="A16" s="3">
        <v>4</v>
      </c>
      <c r="B16" s="3" t="s">
        <v>201</v>
      </c>
      <c r="C16" s="23">
        <v>2</v>
      </c>
    </row>
    <row r="17" spans="1:3" ht="144">
      <c r="A17" s="3">
        <v>3</v>
      </c>
      <c r="B17" s="3" t="s">
        <v>202</v>
      </c>
      <c r="C17" s="23">
        <v>3</v>
      </c>
    </row>
    <row r="18" spans="1:3" ht="144">
      <c r="A18" s="3">
        <v>3</v>
      </c>
      <c r="B18" s="3" t="s">
        <v>203</v>
      </c>
      <c r="C18" s="23">
        <v>3</v>
      </c>
    </row>
    <row r="19" spans="1:3" ht="86.4">
      <c r="A19" s="3">
        <v>3</v>
      </c>
      <c r="B19" s="3" t="s">
        <v>204</v>
      </c>
      <c r="C19" s="23">
        <v>1</v>
      </c>
    </row>
    <row r="20" spans="1:3" ht="86.4">
      <c r="A20" s="3">
        <v>3</v>
      </c>
      <c r="B20" s="3" t="s">
        <v>205</v>
      </c>
      <c r="C20" s="23">
        <v>1</v>
      </c>
    </row>
    <row r="21" spans="1:3" ht="86.4">
      <c r="A21" s="3">
        <v>3</v>
      </c>
      <c r="B21" s="42" t="s">
        <v>206</v>
      </c>
      <c r="C21" s="23">
        <v>1</v>
      </c>
    </row>
    <row r="22" spans="1:3" ht="86.4">
      <c r="A22" s="3">
        <v>3</v>
      </c>
      <c r="B22" s="3" t="s">
        <v>207</v>
      </c>
      <c r="C22" s="23">
        <v>1</v>
      </c>
    </row>
    <row r="23" spans="1:3" ht="144">
      <c r="A23" s="3">
        <v>4</v>
      </c>
      <c r="B23" s="3" t="s">
        <v>208</v>
      </c>
      <c r="C23" s="23">
        <v>3</v>
      </c>
    </row>
    <row r="24" spans="1:3" ht="57.6">
      <c r="A24" s="3">
        <v>4</v>
      </c>
      <c r="B24" s="3" t="s">
        <v>209</v>
      </c>
      <c r="C24" s="23">
        <v>3</v>
      </c>
    </row>
    <row r="25" spans="1:3" ht="28.8">
      <c r="A25" s="3">
        <v>1</v>
      </c>
      <c r="B25" s="3" t="s">
        <v>210</v>
      </c>
      <c r="C25" s="23">
        <v>3</v>
      </c>
    </row>
    <row r="26" spans="1:3" ht="86.4">
      <c r="A26" s="3">
        <v>3</v>
      </c>
      <c r="B26" s="3" t="s">
        <v>211</v>
      </c>
      <c r="C26" s="23">
        <v>2</v>
      </c>
    </row>
    <row r="27" spans="1:3" ht="43.2">
      <c r="A27" s="3">
        <v>3</v>
      </c>
      <c r="B27" s="3" t="s">
        <v>212</v>
      </c>
      <c r="C27" s="23">
        <v>2</v>
      </c>
    </row>
    <row r="28" spans="1:3" ht="86.4">
      <c r="A28" s="3">
        <v>4</v>
      </c>
      <c r="B28" s="3" t="s">
        <v>213</v>
      </c>
      <c r="C28" s="23">
        <v>2</v>
      </c>
    </row>
    <row r="29" spans="1:3" ht="86.4">
      <c r="A29" s="3">
        <v>4</v>
      </c>
      <c r="B29" s="3" t="s">
        <v>214</v>
      </c>
      <c r="C29" s="23">
        <v>2</v>
      </c>
    </row>
    <row r="30" spans="1:3" ht="100.8">
      <c r="A30" s="3">
        <v>4</v>
      </c>
      <c r="B30" s="3" t="s">
        <v>215</v>
      </c>
      <c r="C30" s="23">
        <v>2</v>
      </c>
    </row>
    <row r="31" spans="1:3" ht="86.4">
      <c r="A31" s="3">
        <v>4</v>
      </c>
      <c r="B31" s="3" t="s">
        <v>216</v>
      </c>
      <c r="C31" s="23">
        <v>2</v>
      </c>
    </row>
    <row r="32" spans="1:3" ht="72">
      <c r="A32" s="50">
        <v>3</v>
      </c>
      <c r="B32" s="3" t="s">
        <v>217</v>
      </c>
      <c r="C32" s="23">
        <v>3</v>
      </c>
    </row>
    <row r="33" spans="1:3" ht="72">
      <c r="A33" s="50">
        <v>3</v>
      </c>
      <c r="B33" s="3" t="s">
        <v>218</v>
      </c>
      <c r="C33" s="23">
        <v>3</v>
      </c>
    </row>
    <row r="34" spans="1:3" ht="129.6">
      <c r="A34" s="50">
        <v>4</v>
      </c>
      <c r="B34" s="3" t="s">
        <v>219</v>
      </c>
      <c r="C34" s="23">
        <v>2</v>
      </c>
    </row>
    <row r="35" spans="1:3" ht="72">
      <c r="A35" s="50">
        <v>4</v>
      </c>
      <c r="B35" s="3" t="s">
        <v>220</v>
      </c>
      <c r="C35" s="23">
        <v>2</v>
      </c>
    </row>
    <row r="36" spans="1:3" ht="72">
      <c r="A36" s="50">
        <v>4</v>
      </c>
      <c r="B36" s="3" t="s">
        <v>221</v>
      </c>
      <c r="C36" s="23">
        <v>1</v>
      </c>
    </row>
    <row r="37" spans="1:3" ht="57.6">
      <c r="A37" s="50">
        <v>1</v>
      </c>
      <c r="B37" s="3" t="s">
        <v>222</v>
      </c>
      <c r="C37" s="23">
        <v>3</v>
      </c>
    </row>
    <row r="38" spans="1:3" ht="57.6">
      <c r="A38" s="50">
        <v>1</v>
      </c>
      <c r="B38" s="3" t="s">
        <v>223</v>
      </c>
      <c r="C38" s="23">
        <v>3</v>
      </c>
    </row>
    <row r="39" spans="1:3" ht="57.6">
      <c r="A39" s="50">
        <v>4</v>
      </c>
      <c r="B39" s="3" t="s">
        <v>224</v>
      </c>
      <c r="C39" s="23">
        <v>3</v>
      </c>
    </row>
    <row r="40" spans="1:3" ht="43.2">
      <c r="A40" s="50">
        <v>4</v>
      </c>
      <c r="B40" s="3" t="s">
        <v>225</v>
      </c>
      <c r="C40" s="23">
        <v>3</v>
      </c>
    </row>
    <row r="41" spans="1:3" ht="28.8">
      <c r="A41" s="3">
        <v>1</v>
      </c>
      <c r="B41" s="3" t="s">
        <v>226</v>
      </c>
      <c r="C41" s="23">
        <v>1</v>
      </c>
    </row>
    <row r="42" spans="1:3" ht="57.6">
      <c r="A42" s="50">
        <v>3</v>
      </c>
      <c r="B42" s="3" t="s">
        <v>227</v>
      </c>
      <c r="C42" s="23">
        <v>1</v>
      </c>
    </row>
    <row r="43" spans="1:3" ht="43.2">
      <c r="A43" s="50">
        <v>3</v>
      </c>
      <c r="B43" s="3" t="s">
        <v>228</v>
      </c>
      <c r="C43" s="23">
        <v>1</v>
      </c>
    </row>
    <row r="44" spans="1:3" ht="187.2">
      <c r="A44" s="35">
        <v>4</v>
      </c>
      <c r="B44" s="36" t="s">
        <v>229</v>
      </c>
      <c r="C44" s="36">
        <v>2</v>
      </c>
    </row>
    <row r="45" spans="1:3" ht="187.2">
      <c r="A45" s="24">
        <v>4</v>
      </c>
      <c r="B45" s="19" t="s">
        <v>230</v>
      </c>
      <c r="C45" s="36">
        <v>2</v>
      </c>
    </row>
    <row r="46" spans="1:3" ht="409.6">
      <c r="A46" s="24">
        <v>4</v>
      </c>
      <c r="B46" s="19" t="s">
        <v>231</v>
      </c>
      <c r="C46" s="36">
        <v>3</v>
      </c>
    </row>
    <row r="47" spans="1:3" ht="259.2">
      <c r="A47" s="24">
        <v>4</v>
      </c>
      <c r="B47" s="19" t="s">
        <v>232</v>
      </c>
      <c r="C47" s="36">
        <v>3</v>
      </c>
    </row>
    <row r="48" spans="1:3" ht="216">
      <c r="A48" s="24">
        <v>4</v>
      </c>
      <c r="B48" s="19" t="s">
        <v>233</v>
      </c>
      <c r="C48" s="36">
        <v>3</v>
      </c>
    </row>
    <row r="49" spans="1:3" ht="86.4">
      <c r="A49" s="24">
        <v>4</v>
      </c>
      <c r="B49" s="20" t="s">
        <v>234</v>
      </c>
      <c r="C49" s="36">
        <v>2</v>
      </c>
    </row>
    <row r="50" spans="1:3" ht="129.6">
      <c r="A50" s="24">
        <v>3</v>
      </c>
      <c r="B50" s="20" t="s">
        <v>235</v>
      </c>
      <c r="C50" s="36">
        <v>3</v>
      </c>
    </row>
    <row r="51" spans="1:3" ht="115.2">
      <c r="A51" s="24">
        <v>3</v>
      </c>
      <c r="B51" s="20" t="s">
        <v>236</v>
      </c>
      <c r="C51" s="36">
        <v>3</v>
      </c>
    </row>
    <row r="52" spans="1:3" ht="129.6">
      <c r="A52" s="24">
        <v>2</v>
      </c>
      <c r="B52" s="20" t="s">
        <v>237</v>
      </c>
      <c r="C52" s="36">
        <v>3</v>
      </c>
    </row>
    <row r="53" spans="1:3" ht="144">
      <c r="A53" s="24">
        <v>2</v>
      </c>
      <c r="B53" s="20" t="s">
        <v>238</v>
      </c>
      <c r="C53" s="36">
        <v>3</v>
      </c>
    </row>
    <row r="54" spans="1:3" ht="129.6">
      <c r="A54" s="24">
        <v>1</v>
      </c>
      <c r="B54" s="20" t="s">
        <v>239</v>
      </c>
      <c r="C54" s="36">
        <v>1</v>
      </c>
    </row>
    <row r="55" spans="1:3" ht="86.4">
      <c r="A55" s="24">
        <v>1</v>
      </c>
      <c r="B55" s="20" t="s">
        <v>240</v>
      </c>
      <c r="C55" s="36">
        <v>1</v>
      </c>
    </row>
    <row r="56" spans="1:3" ht="273.60000000000002">
      <c r="A56" s="24">
        <v>2</v>
      </c>
      <c r="B56" s="20" t="s">
        <v>241</v>
      </c>
      <c r="C56" s="36">
        <v>2</v>
      </c>
    </row>
    <row r="57" spans="1:3" ht="216">
      <c r="A57" s="24">
        <v>2</v>
      </c>
      <c r="B57" s="20" t="s">
        <v>242</v>
      </c>
      <c r="C57" s="36">
        <v>2</v>
      </c>
    </row>
    <row r="58" spans="1:3" ht="144">
      <c r="A58" s="24">
        <v>2</v>
      </c>
      <c r="B58" s="20" t="s">
        <v>243</v>
      </c>
      <c r="C58" s="36">
        <v>1</v>
      </c>
    </row>
    <row r="59" spans="1:3" ht="187.2">
      <c r="A59" s="24">
        <v>2</v>
      </c>
      <c r="B59" s="20" t="s">
        <v>244</v>
      </c>
      <c r="C59" s="36">
        <v>1</v>
      </c>
    </row>
    <row r="60" spans="1:3" ht="403.2">
      <c r="A60" s="24">
        <v>1</v>
      </c>
      <c r="B60" s="64" t="s">
        <v>245</v>
      </c>
      <c r="C60" s="36">
        <v>2</v>
      </c>
    </row>
    <row r="61" spans="1:3" ht="360">
      <c r="A61" s="24">
        <v>1</v>
      </c>
      <c r="B61" s="20" t="s">
        <v>246</v>
      </c>
      <c r="C61" s="36">
        <v>2</v>
      </c>
    </row>
    <row r="62" spans="1:3" ht="244.8">
      <c r="A62" s="24">
        <v>1</v>
      </c>
      <c r="B62" s="20" t="s">
        <v>247</v>
      </c>
      <c r="C62" s="36">
        <v>2</v>
      </c>
    </row>
    <row r="63" spans="1:3" ht="115.2">
      <c r="A63" s="24">
        <v>1</v>
      </c>
      <c r="B63" s="20" t="s">
        <v>248</v>
      </c>
      <c r="C63" s="36">
        <v>1</v>
      </c>
    </row>
    <row r="64" spans="1:3" ht="129.6">
      <c r="A64" s="24">
        <v>1</v>
      </c>
      <c r="B64" s="20" t="s">
        <v>249</v>
      </c>
      <c r="C64" s="36">
        <v>1</v>
      </c>
    </row>
    <row r="65" spans="1:3" ht="331.2">
      <c r="A65" s="24">
        <v>2</v>
      </c>
      <c r="B65" s="20" t="s">
        <v>250</v>
      </c>
      <c r="C65" s="36">
        <v>3</v>
      </c>
    </row>
    <row r="66" spans="1:3" ht="259.2">
      <c r="A66" s="24">
        <v>2</v>
      </c>
      <c r="B66" s="20" t="s">
        <v>251</v>
      </c>
      <c r="C66" s="36">
        <v>3</v>
      </c>
    </row>
    <row r="67" spans="1:3" ht="216">
      <c r="A67" s="24">
        <v>2</v>
      </c>
      <c r="B67" s="20" t="s">
        <v>252</v>
      </c>
      <c r="C67" s="36">
        <v>3</v>
      </c>
    </row>
    <row r="68" spans="1:3" ht="144">
      <c r="A68" s="24">
        <v>4</v>
      </c>
      <c r="B68" s="20" t="s">
        <v>253</v>
      </c>
      <c r="C68" s="36">
        <v>3</v>
      </c>
    </row>
    <row r="69" spans="1:3" ht="115.2">
      <c r="A69" s="24">
        <v>4</v>
      </c>
      <c r="B69" s="20" t="s">
        <v>254</v>
      </c>
      <c r="C69" s="36">
        <v>3</v>
      </c>
    </row>
    <row r="70" spans="1:3" ht="172.8">
      <c r="A70" s="24">
        <v>2</v>
      </c>
      <c r="B70" s="20" t="s">
        <v>255</v>
      </c>
      <c r="C70" s="36">
        <v>1</v>
      </c>
    </row>
    <row r="71" spans="1:3" ht="216">
      <c r="A71" s="24">
        <v>2</v>
      </c>
      <c r="B71" s="20" t="s">
        <v>256</v>
      </c>
      <c r="C71" s="36">
        <v>1</v>
      </c>
    </row>
    <row r="72" spans="1:3" ht="187.2">
      <c r="A72" s="24">
        <v>2</v>
      </c>
      <c r="B72" s="20" t="s">
        <v>257</v>
      </c>
      <c r="C72" s="36">
        <v>1</v>
      </c>
    </row>
    <row r="73" spans="1:3" ht="129.6">
      <c r="A73" s="24">
        <v>4</v>
      </c>
      <c r="B73" s="20" t="s">
        <v>258</v>
      </c>
      <c r="C73" s="36">
        <v>1</v>
      </c>
    </row>
    <row r="74" spans="1:3" ht="129.6">
      <c r="A74" s="24">
        <v>4</v>
      </c>
      <c r="B74" s="20" t="s">
        <v>259</v>
      </c>
      <c r="C74" s="36">
        <v>1</v>
      </c>
    </row>
    <row r="75" spans="1:3" ht="216">
      <c r="A75" s="24">
        <v>2</v>
      </c>
      <c r="B75" s="20" t="s">
        <v>260</v>
      </c>
      <c r="C75" s="36">
        <v>1</v>
      </c>
    </row>
    <row r="76" spans="1:3" ht="172.8">
      <c r="A76" s="24">
        <v>2</v>
      </c>
      <c r="B76" s="20" t="s">
        <v>261</v>
      </c>
      <c r="C76" s="36">
        <v>1</v>
      </c>
    </row>
    <row r="77" spans="1:3" ht="172.8">
      <c r="A77" s="24">
        <v>2</v>
      </c>
      <c r="B77" s="20" t="s">
        <v>262</v>
      </c>
      <c r="C77" s="36">
        <v>1</v>
      </c>
    </row>
    <row r="78" spans="1:3" ht="201.6">
      <c r="A78" s="24">
        <v>4</v>
      </c>
      <c r="B78" s="20" t="s">
        <v>263</v>
      </c>
      <c r="C78" s="36">
        <v>3</v>
      </c>
    </row>
    <row r="79" spans="1:3" ht="216">
      <c r="A79" s="24">
        <v>4</v>
      </c>
      <c r="B79" s="20" t="s">
        <v>264</v>
      </c>
      <c r="C79" s="36">
        <v>3</v>
      </c>
    </row>
    <row r="80" spans="1:3" ht="259.2">
      <c r="A80" s="24">
        <v>2</v>
      </c>
      <c r="B80" s="20" t="s">
        <v>265</v>
      </c>
      <c r="C80" s="36">
        <v>1</v>
      </c>
    </row>
    <row r="81" spans="1:3" ht="230.4">
      <c r="A81" s="24">
        <v>2</v>
      </c>
      <c r="B81" s="20" t="s">
        <v>266</v>
      </c>
      <c r="C81" s="36">
        <v>1</v>
      </c>
    </row>
    <row r="82" spans="1:3" ht="158.4">
      <c r="A82" s="24">
        <v>2</v>
      </c>
      <c r="B82" s="20" t="s">
        <v>267</v>
      </c>
      <c r="C82" s="36">
        <v>1</v>
      </c>
    </row>
    <row r="83" spans="1:3" ht="129.6">
      <c r="A83" s="24">
        <v>2</v>
      </c>
      <c r="B83" s="20" t="s">
        <v>268</v>
      </c>
      <c r="C83" s="36">
        <v>2</v>
      </c>
    </row>
    <row r="84" spans="1:3" ht="86.4">
      <c r="A84" s="24">
        <v>2</v>
      </c>
      <c r="B84" s="20" t="s">
        <v>269</v>
      </c>
      <c r="C84" s="36">
        <v>2</v>
      </c>
    </row>
    <row r="85" spans="1:3" ht="144">
      <c r="A85" s="24">
        <v>3</v>
      </c>
      <c r="B85" s="20" t="s">
        <v>270</v>
      </c>
      <c r="C85" s="36">
        <v>4</v>
      </c>
    </row>
    <row r="86" spans="1:3" ht="115.2">
      <c r="A86" s="24">
        <v>3</v>
      </c>
      <c r="B86" s="25" t="s">
        <v>271</v>
      </c>
      <c r="C86" s="36">
        <v>4</v>
      </c>
    </row>
    <row r="87" spans="1:3" ht="115.2">
      <c r="A87" s="24">
        <v>3</v>
      </c>
      <c r="B87" s="20" t="s">
        <v>272</v>
      </c>
      <c r="C87" s="36">
        <v>4</v>
      </c>
    </row>
    <row r="88" spans="1:3" ht="115.2">
      <c r="A88" s="24">
        <v>1</v>
      </c>
      <c r="B88" s="20" t="s">
        <v>273</v>
      </c>
      <c r="C88" s="36">
        <v>4</v>
      </c>
    </row>
    <row r="89" spans="1:3" ht="100.8">
      <c r="A89" s="24">
        <v>1</v>
      </c>
      <c r="B89" s="25" t="s">
        <v>274</v>
      </c>
      <c r="C89" s="36">
        <v>4</v>
      </c>
    </row>
    <row r="90" spans="1:3" ht="100.8">
      <c r="A90" s="24">
        <v>1</v>
      </c>
      <c r="B90" s="20" t="s">
        <v>275</v>
      </c>
      <c r="C90" s="36">
        <v>4</v>
      </c>
    </row>
    <row r="91" spans="1:3" ht="302.39999999999998">
      <c r="A91" s="24">
        <v>3</v>
      </c>
      <c r="B91" s="20" t="s">
        <v>276</v>
      </c>
      <c r="C91" s="36">
        <v>4</v>
      </c>
    </row>
    <row r="92" spans="1:3" ht="144">
      <c r="A92" s="24">
        <v>3</v>
      </c>
      <c r="B92" s="47" t="s">
        <v>277</v>
      </c>
      <c r="C92" s="36">
        <v>2</v>
      </c>
    </row>
    <row r="93" spans="1:3" ht="86.4">
      <c r="A93" s="24">
        <v>3</v>
      </c>
      <c r="B93" s="20" t="s">
        <v>278</v>
      </c>
      <c r="C93" s="36">
        <v>2</v>
      </c>
    </row>
    <row r="94" spans="1:3" ht="172.8">
      <c r="A94" s="24">
        <v>2</v>
      </c>
      <c r="B94" s="20" t="s">
        <v>279</v>
      </c>
      <c r="C94" s="36">
        <v>2</v>
      </c>
    </row>
    <row r="95" spans="1:3" ht="129.6">
      <c r="A95" s="24">
        <v>2</v>
      </c>
      <c r="B95" s="20" t="s">
        <v>280</v>
      </c>
      <c r="C95" s="36">
        <v>2</v>
      </c>
    </row>
    <row r="96" spans="1:3" ht="316.8">
      <c r="A96" s="24">
        <v>2</v>
      </c>
      <c r="B96" s="47" t="s">
        <v>281</v>
      </c>
      <c r="C96" s="36">
        <v>2</v>
      </c>
    </row>
    <row r="97" spans="1:3" ht="302.39999999999998">
      <c r="A97" s="24">
        <v>2</v>
      </c>
      <c r="B97" s="25" t="s">
        <v>282</v>
      </c>
      <c r="C97" s="36">
        <v>2</v>
      </c>
    </row>
    <row r="98" spans="1:3" ht="273.60000000000002">
      <c r="A98" s="24">
        <v>2</v>
      </c>
      <c r="B98" s="25" t="s">
        <v>283</v>
      </c>
      <c r="C98" s="36">
        <v>2</v>
      </c>
    </row>
    <row r="99" spans="1:3" ht="334.5" customHeight="1">
      <c r="A99" s="23">
        <v>4</v>
      </c>
      <c r="B99" s="15" t="s">
        <v>284</v>
      </c>
      <c r="C99">
        <v>1</v>
      </c>
    </row>
    <row r="100" spans="1:3" ht="172.8">
      <c r="A100" s="23">
        <v>4</v>
      </c>
      <c r="B100" s="3" t="s">
        <v>285</v>
      </c>
      <c r="C100">
        <v>1</v>
      </c>
    </row>
    <row r="101" spans="1:3" ht="115.2">
      <c r="A101" s="23">
        <v>3</v>
      </c>
      <c r="B101" s="3" t="s">
        <v>286</v>
      </c>
      <c r="C101">
        <v>1</v>
      </c>
    </row>
    <row r="102" spans="1:3" ht="96.6">
      <c r="A102" s="23">
        <v>3</v>
      </c>
      <c r="B102" s="15" t="s">
        <v>287</v>
      </c>
      <c r="C102">
        <v>1</v>
      </c>
    </row>
    <row r="103" spans="1:3" ht="193.2">
      <c r="A103" s="23">
        <v>4</v>
      </c>
      <c r="B103" s="15" t="s">
        <v>288</v>
      </c>
      <c r="C103">
        <v>1</v>
      </c>
    </row>
    <row r="104" spans="1:3" ht="248.4">
      <c r="A104" s="23">
        <v>3</v>
      </c>
      <c r="B104" s="16" t="s">
        <v>289</v>
      </c>
      <c r="C104">
        <v>1</v>
      </c>
    </row>
    <row r="105" spans="1:3" ht="409.6" customHeight="1">
      <c r="A105" s="23">
        <v>4</v>
      </c>
      <c r="B105" s="17" t="s">
        <v>290</v>
      </c>
      <c r="C105">
        <v>1</v>
      </c>
    </row>
    <row r="106" spans="1:3" ht="300">
      <c r="A106" s="23">
        <v>4</v>
      </c>
      <c r="B106" s="17" t="s">
        <v>291</v>
      </c>
      <c r="C106">
        <v>1</v>
      </c>
    </row>
    <row r="107" spans="1:3" ht="285">
      <c r="A107" s="23">
        <v>3</v>
      </c>
      <c r="B107" s="17" t="s">
        <v>292</v>
      </c>
      <c r="C107">
        <v>1</v>
      </c>
    </row>
    <row r="108" spans="1:3" ht="225">
      <c r="A108" s="23">
        <v>3</v>
      </c>
      <c r="B108" s="17" t="s">
        <v>293</v>
      </c>
      <c r="C108">
        <v>4</v>
      </c>
    </row>
    <row r="109" spans="1:3" ht="150">
      <c r="A109" s="23">
        <v>4</v>
      </c>
      <c r="B109" s="17" t="s">
        <v>294</v>
      </c>
      <c r="C109">
        <v>1</v>
      </c>
    </row>
    <row r="110" spans="1:3" ht="150">
      <c r="A110" s="23">
        <v>4</v>
      </c>
      <c r="B110" s="17" t="s">
        <v>295</v>
      </c>
      <c r="C110">
        <v>1</v>
      </c>
    </row>
    <row r="111" spans="1:3" ht="225">
      <c r="A111" s="23">
        <v>3</v>
      </c>
      <c r="B111" s="17" t="s">
        <v>296</v>
      </c>
      <c r="C111">
        <v>1</v>
      </c>
    </row>
    <row r="112" spans="1:3" ht="180">
      <c r="A112" s="23">
        <v>3</v>
      </c>
      <c r="B112" s="17" t="s">
        <v>297</v>
      </c>
      <c r="C112">
        <v>1</v>
      </c>
    </row>
    <row r="113" spans="1:3" ht="407.25" customHeight="1">
      <c r="A113" s="23">
        <v>1</v>
      </c>
      <c r="B113" s="17" t="s">
        <v>298</v>
      </c>
      <c r="C113">
        <v>4</v>
      </c>
    </row>
    <row r="114" spans="1:3" ht="165">
      <c r="A114" s="23">
        <v>1</v>
      </c>
      <c r="B114" s="17" t="s">
        <v>299</v>
      </c>
      <c r="C114">
        <v>4</v>
      </c>
    </row>
    <row r="115" spans="1:3" ht="180">
      <c r="A115" s="23">
        <v>1</v>
      </c>
      <c r="B115" s="17" t="s">
        <v>300</v>
      </c>
      <c r="C115">
        <v>4</v>
      </c>
    </row>
    <row r="116" spans="1:3" ht="300">
      <c r="A116" s="23">
        <v>3</v>
      </c>
      <c r="B116" s="17" t="s">
        <v>301</v>
      </c>
      <c r="C116">
        <v>2</v>
      </c>
    </row>
    <row r="117" spans="1:3" ht="265.5" customHeight="1">
      <c r="A117" s="23">
        <v>4</v>
      </c>
      <c r="B117" s="17" t="s">
        <v>302</v>
      </c>
      <c r="C117">
        <v>3</v>
      </c>
    </row>
    <row r="118" spans="1:3" ht="150">
      <c r="A118" s="23">
        <v>4</v>
      </c>
      <c r="B118" s="17" t="s">
        <v>303</v>
      </c>
      <c r="C118">
        <v>3</v>
      </c>
    </row>
    <row r="119" spans="1:3" ht="216.75" customHeight="1">
      <c r="A119" s="23">
        <v>2</v>
      </c>
      <c r="B119" s="16" t="s">
        <v>304</v>
      </c>
      <c r="C119">
        <v>3</v>
      </c>
    </row>
    <row r="120" spans="1:3" ht="110.4">
      <c r="A120" s="23">
        <v>2</v>
      </c>
      <c r="B120" s="16" t="s">
        <v>305</v>
      </c>
      <c r="C120">
        <v>3</v>
      </c>
    </row>
    <row r="121" spans="1:3" ht="207">
      <c r="A121" s="23">
        <v>3</v>
      </c>
      <c r="B121" s="15" t="s">
        <v>306</v>
      </c>
      <c r="C121">
        <v>2</v>
      </c>
    </row>
    <row r="122" spans="1:3" ht="110.4">
      <c r="A122" s="23">
        <v>3</v>
      </c>
      <c r="B122" s="15" t="s">
        <v>307</v>
      </c>
      <c r="C122">
        <v>2</v>
      </c>
    </row>
    <row r="123" spans="1:3" ht="96.6">
      <c r="A123" s="23">
        <v>3</v>
      </c>
      <c r="B123" s="15" t="s">
        <v>308</v>
      </c>
      <c r="C123">
        <v>2</v>
      </c>
    </row>
    <row r="124" spans="1:3" ht="284.25" customHeight="1">
      <c r="A124" s="23">
        <v>4</v>
      </c>
      <c r="B124" s="15" t="s">
        <v>309</v>
      </c>
      <c r="C124">
        <v>2</v>
      </c>
    </row>
    <row r="125" spans="1:3" ht="110.4">
      <c r="A125" s="23">
        <v>4</v>
      </c>
      <c r="B125" s="15" t="s">
        <v>310</v>
      </c>
      <c r="C125">
        <v>2</v>
      </c>
    </row>
    <row r="126" spans="1:3" ht="267.75" customHeight="1">
      <c r="A126" s="23">
        <v>3</v>
      </c>
      <c r="B126" s="15" t="s">
        <v>311</v>
      </c>
      <c r="C126">
        <v>3</v>
      </c>
    </row>
    <row r="127" spans="1:3" ht="151.80000000000001">
      <c r="A127" s="23">
        <v>3</v>
      </c>
      <c r="B127" s="15" t="s">
        <v>312</v>
      </c>
      <c r="C127">
        <v>3</v>
      </c>
    </row>
    <row r="128" spans="1:3" ht="317.39999999999998">
      <c r="A128" s="23">
        <v>4</v>
      </c>
      <c r="B128" s="15" t="s">
        <v>313</v>
      </c>
      <c r="C128">
        <v>4</v>
      </c>
    </row>
    <row r="129" spans="1:3" ht="151.80000000000001">
      <c r="A129" s="23">
        <v>4</v>
      </c>
      <c r="B129" s="15" t="s">
        <v>314</v>
      </c>
      <c r="C129">
        <v>4</v>
      </c>
    </row>
    <row r="130" spans="1:3" ht="110.4">
      <c r="A130" s="23">
        <v>4</v>
      </c>
      <c r="B130" s="15" t="s">
        <v>315</v>
      </c>
      <c r="C130">
        <v>4</v>
      </c>
    </row>
    <row r="131" spans="1:3" ht="221.4">
      <c r="A131" s="23">
        <v>2</v>
      </c>
      <c r="B131" s="27" t="s">
        <v>316</v>
      </c>
      <c r="C131">
        <v>1</v>
      </c>
    </row>
    <row r="132" spans="1:3" ht="86.4">
      <c r="A132" s="23">
        <v>2</v>
      </c>
      <c r="B132" s="37" t="s">
        <v>317</v>
      </c>
      <c r="C132">
        <v>1</v>
      </c>
    </row>
    <row r="133" spans="1:3" ht="172.8">
      <c r="A133" s="23">
        <v>3</v>
      </c>
      <c r="B133" s="37" t="s">
        <v>318</v>
      </c>
      <c r="C133">
        <v>3</v>
      </c>
    </row>
    <row r="134" spans="1:3" ht="72">
      <c r="A134" s="23">
        <v>1</v>
      </c>
      <c r="B134" s="37" t="s">
        <v>319</v>
      </c>
      <c r="C134">
        <v>1</v>
      </c>
    </row>
    <row r="135" spans="1:3" ht="137.25" customHeight="1">
      <c r="A135" s="23">
        <v>1</v>
      </c>
      <c r="B135" s="37" t="s">
        <v>320</v>
      </c>
      <c r="C135">
        <v>2</v>
      </c>
    </row>
    <row r="136" spans="1:3" ht="100.8">
      <c r="A136" s="23">
        <v>1</v>
      </c>
      <c r="B136" s="37" t="s">
        <v>321</v>
      </c>
      <c r="C136">
        <v>2</v>
      </c>
    </row>
    <row r="137" spans="1:3" ht="144">
      <c r="A137" s="23">
        <v>3</v>
      </c>
      <c r="B137" s="37" t="s">
        <v>322</v>
      </c>
      <c r="C137">
        <v>2</v>
      </c>
    </row>
    <row r="138" spans="1:3" ht="86.4">
      <c r="A138" s="23">
        <v>2</v>
      </c>
      <c r="B138" s="37" t="s">
        <v>323</v>
      </c>
      <c r="C138">
        <v>2</v>
      </c>
    </row>
    <row r="139" spans="1:3" ht="144">
      <c r="A139" s="23">
        <v>3</v>
      </c>
      <c r="B139" s="37" t="s">
        <v>324</v>
      </c>
      <c r="C139">
        <v>1</v>
      </c>
    </row>
    <row r="140" spans="1:3" ht="57.6">
      <c r="A140" s="23">
        <v>1</v>
      </c>
      <c r="B140" s="37" t="s">
        <v>325</v>
      </c>
      <c r="C140">
        <v>1</v>
      </c>
    </row>
    <row r="141" spans="1:3" ht="86.4">
      <c r="A141" s="23">
        <v>1</v>
      </c>
      <c r="B141" s="37" t="s">
        <v>326</v>
      </c>
      <c r="C141">
        <v>3</v>
      </c>
    </row>
    <row r="142" spans="1:3" ht="72">
      <c r="A142" s="23">
        <v>1</v>
      </c>
      <c r="B142" s="37" t="s">
        <v>327</v>
      </c>
      <c r="C142">
        <v>3</v>
      </c>
    </row>
    <row r="143" spans="1:3" ht="144">
      <c r="A143" s="23">
        <v>1</v>
      </c>
      <c r="B143" s="37" t="s">
        <v>328</v>
      </c>
      <c r="C143">
        <v>1</v>
      </c>
    </row>
    <row r="144" spans="1:3" ht="86.4">
      <c r="A144" s="23">
        <v>1</v>
      </c>
      <c r="B144" s="48" t="s">
        <v>329</v>
      </c>
      <c r="C144">
        <v>1</v>
      </c>
    </row>
    <row r="145" spans="1:3" ht="129.6">
      <c r="A145" s="23">
        <v>1</v>
      </c>
      <c r="B145" s="37" t="s">
        <v>330</v>
      </c>
      <c r="C145">
        <v>4</v>
      </c>
    </row>
    <row r="146" spans="1:3" ht="129.6">
      <c r="A146" s="23">
        <v>1</v>
      </c>
      <c r="B146" s="37" t="s">
        <v>331</v>
      </c>
      <c r="C146">
        <v>2</v>
      </c>
    </row>
    <row r="147" spans="1:3" ht="100.8">
      <c r="A147" s="23">
        <v>1</v>
      </c>
      <c r="B147" s="37" t="s">
        <v>332</v>
      </c>
      <c r="C147">
        <v>2</v>
      </c>
    </row>
    <row r="148" spans="1:3" ht="86.4">
      <c r="A148" s="23">
        <v>2</v>
      </c>
      <c r="B148" s="37" t="s">
        <v>333</v>
      </c>
      <c r="C148">
        <v>3</v>
      </c>
    </row>
    <row r="149" spans="1:3" ht="57.6">
      <c r="A149" s="23">
        <v>1</v>
      </c>
      <c r="B149" s="37" t="s">
        <v>334</v>
      </c>
      <c r="C149">
        <v>3</v>
      </c>
    </row>
    <row r="150" spans="1:3" ht="129.6">
      <c r="A150" s="23">
        <v>2</v>
      </c>
      <c r="B150" s="37" t="s">
        <v>335</v>
      </c>
      <c r="C150">
        <v>3</v>
      </c>
    </row>
    <row r="151" spans="1:3" ht="72">
      <c r="A151" s="23">
        <v>1</v>
      </c>
      <c r="B151" s="37" t="s">
        <v>336</v>
      </c>
      <c r="C151">
        <v>3</v>
      </c>
    </row>
    <row r="152" spans="1:3" ht="72">
      <c r="A152" s="23">
        <v>1</v>
      </c>
      <c r="B152" s="37" t="s">
        <v>337</v>
      </c>
      <c r="C152">
        <v>2</v>
      </c>
    </row>
    <row r="153" spans="1:3" ht="91.5" customHeight="1">
      <c r="A153" s="23">
        <v>2</v>
      </c>
      <c r="B153" s="37" t="s">
        <v>338</v>
      </c>
      <c r="C153">
        <v>1</v>
      </c>
    </row>
    <row r="154" spans="1:3" ht="144">
      <c r="A154" s="23">
        <v>1</v>
      </c>
      <c r="B154" s="37" t="s">
        <v>339</v>
      </c>
      <c r="C154">
        <v>2</v>
      </c>
    </row>
    <row r="155" spans="1:3" ht="201.6">
      <c r="A155" s="23">
        <v>3</v>
      </c>
      <c r="B155" s="37" t="s">
        <v>340</v>
      </c>
      <c r="C155">
        <v>2</v>
      </c>
    </row>
    <row r="156" spans="1:3" ht="86.4">
      <c r="A156" s="23">
        <v>4</v>
      </c>
      <c r="B156" s="37" t="s">
        <v>341</v>
      </c>
      <c r="C156">
        <v>1</v>
      </c>
    </row>
    <row r="157" spans="1:3" ht="158.4">
      <c r="A157" s="23">
        <v>3</v>
      </c>
      <c r="B157" s="37" t="s">
        <v>342</v>
      </c>
      <c r="C157">
        <v>1</v>
      </c>
    </row>
    <row r="158" spans="1:3" ht="409.6" customHeight="1">
      <c r="A158" s="40">
        <v>4</v>
      </c>
      <c r="B158" s="39" t="s">
        <v>343</v>
      </c>
      <c r="C158">
        <v>3</v>
      </c>
    </row>
    <row r="159" spans="1:3" ht="171.6">
      <c r="A159" s="40">
        <v>4</v>
      </c>
      <c r="B159" s="39" t="s">
        <v>344</v>
      </c>
      <c r="C159">
        <v>3</v>
      </c>
    </row>
    <row r="160" spans="1:3" ht="70.5" customHeight="1">
      <c r="A160">
        <v>1</v>
      </c>
      <c r="B160" s="39" t="s">
        <v>345</v>
      </c>
      <c r="C160">
        <v>4</v>
      </c>
    </row>
    <row r="161" spans="1:3" ht="62.4">
      <c r="A161">
        <v>3</v>
      </c>
      <c r="B161" s="39" t="s">
        <v>346</v>
      </c>
      <c r="C161">
        <v>1</v>
      </c>
    </row>
    <row r="162" spans="1:3" ht="249.6">
      <c r="A162">
        <v>4</v>
      </c>
      <c r="B162" s="39" t="s">
        <v>347</v>
      </c>
      <c r="C162">
        <v>3</v>
      </c>
    </row>
    <row r="163" spans="1:3" ht="93.6">
      <c r="A163">
        <v>2</v>
      </c>
      <c r="B163" s="39" t="s">
        <v>348</v>
      </c>
      <c r="C163">
        <v>1</v>
      </c>
    </row>
    <row r="164" spans="1:3" ht="124.8">
      <c r="A164">
        <v>3</v>
      </c>
      <c r="B164" s="39" t="s">
        <v>349</v>
      </c>
      <c r="C164">
        <v>1</v>
      </c>
    </row>
    <row r="165" spans="1:3" ht="109.2">
      <c r="A165" s="24">
        <v>4</v>
      </c>
      <c r="B165" s="39" t="s">
        <v>350</v>
      </c>
      <c r="C165">
        <v>3</v>
      </c>
    </row>
    <row r="166" spans="1:3" ht="202.8">
      <c r="A166" s="24">
        <v>4</v>
      </c>
      <c r="B166" s="39" t="s">
        <v>351</v>
      </c>
      <c r="C166">
        <v>1</v>
      </c>
    </row>
    <row r="167" spans="1:3" ht="265.2">
      <c r="A167" s="24">
        <v>3</v>
      </c>
      <c r="B167" s="39" t="s">
        <v>352</v>
      </c>
      <c r="C167">
        <v>1</v>
      </c>
    </row>
    <row r="168" spans="1:3" ht="62.4">
      <c r="A168" s="24">
        <v>1</v>
      </c>
      <c r="B168" s="39" t="s">
        <v>353</v>
      </c>
      <c r="C168">
        <v>1</v>
      </c>
    </row>
    <row r="169" spans="1:3" ht="105.75" customHeight="1">
      <c r="A169" s="24">
        <v>4</v>
      </c>
      <c r="B169" s="39" t="s">
        <v>354</v>
      </c>
      <c r="C169">
        <v>2</v>
      </c>
    </row>
    <row r="170" spans="1:3" ht="109.2">
      <c r="A170" s="24">
        <v>3</v>
      </c>
      <c r="B170" s="39" t="s">
        <v>355</v>
      </c>
      <c r="C170">
        <v>1</v>
      </c>
    </row>
    <row r="171" spans="1:3" ht="109.2">
      <c r="A171" s="24">
        <v>3</v>
      </c>
      <c r="B171" s="39" t="s">
        <v>356</v>
      </c>
      <c r="C171">
        <v>1</v>
      </c>
    </row>
    <row r="172" spans="1:3" ht="78">
      <c r="A172" s="24">
        <v>4</v>
      </c>
      <c r="B172" s="39" t="s">
        <v>357</v>
      </c>
      <c r="C172">
        <v>3</v>
      </c>
    </row>
    <row r="173" spans="1:3" ht="62.4">
      <c r="A173" s="24">
        <v>3</v>
      </c>
      <c r="B173" s="39" t="s">
        <v>358</v>
      </c>
      <c r="C173">
        <v>1</v>
      </c>
    </row>
    <row r="174" spans="1:3" ht="78">
      <c r="A174" s="24">
        <v>3</v>
      </c>
      <c r="B174" s="39" t="s">
        <v>359</v>
      </c>
      <c r="C174">
        <v>2</v>
      </c>
    </row>
    <row r="175" spans="1:3" ht="202.8">
      <c r="A175" s="24">
        <v>3</v>
      </c>
      <c r="B175" s="39" t="s">
        <v>360</v>
      </c>
      <c r="C175">
        <v>2</v>
      </c>
    </row>
    <row r="176" spans="1:3" ht="124.8">
      <c r="A176" s="24">
        <v>3</v>
      </c>
      <c r="B176" s="39" t="s">
        <v>361</v>
      </c>
      <c r="C176">
        <v>2</v>
      </c>
    </row>
    <row r="177" spans="1:3" ht="109.2">
      <c r="A177" s="24">
        <v>3</v>
      </c>
      <c r="B177" s="39" t="s">
        <v>362</v>
      </c>
      <c r="C177">
        <v>3</v>
      </c>
    </row>
    <row r="178" spans="1:3" ht="46.8">
      <c r="A178" s="24">
        <v>3</v>
      </c>
      <c r="B178" s="39" t="s">
        <v>363</v>
      </c>
      <c r="C178">
        <v>2</v>
      </c>
    </row>
    <row r="179" spans="1:3" ht="93.6">
      <c r="A179" s="24">
        <v>1</v>
      </c>
      <c r="B179" s="39" t="s">
        <v>364</v>
      </c>
      <c r="C179">
        <v>2</v>
      </c>
    </row>
    <row r="180" spans="1:3" ht="93.6">
      <c r="A180" s="24">
        <v>3</v>
      </c>
      <c r="B180" s="39" t="s">
        <v>365</v>
      </c>
      <c r="C180">
        <v>1</v>
      </c>
    </row>
    <row r="181" spans="1:3" ht="159.75" customHeight="1">
      <c r="A181" s="33">
        <v>1</v>
      </c>
      <c r="B181" s="61" t="s">
        <v>366</v>
      </c>
      <c r="C181">
        <v>4</v>
      </c>
    </row>
    <row r="182" spans="1:3" ht="159.75" customHeight="1">
      <c r="A182" s="33">
        <v>1</v>
      </c>
      <c r="B182" s="61" t="s">
        <v>367</v>
      </c>
      <c r="C182">
        <v>4</v>
      </c>
    </row>
    <row r="183" spans="1:3" ht="159.75" customHeight="1">
      <c r="A183" s="33">
        <v>1</v>
      </c>
      <c r="B183" s="61" t="s">
        <v>368</v>
      </c>
      <c r="C183">
        <v>4</v>
      </c>
    </row>
    <row r="184" spans="1:3" ht="159.75" customHeight="1">
      <c r="A184" s="33">
        <v>1</v>
      </c>
      <c r="B184" s="61" t="s">
        <v>369</v>
      </c>
      <c r="C184">
        <v>4</v>
      </c>
    </row>
    <row r="185" spans="1:3" ht="159.75" customHeight="1">
      <c r="A185" s="33">
        <v>1</v>
      </c>
      <c r="B185" s="61" t="s">
        <v>370</v>
      </c>
      <c r="C185">
        <v>4</v>
      </c>
    </row>
    <row r="186" spans="1:3" ht="159.75" customHeight="1">
      <c r="A186" s="33">
        <v>1</v>
      </c>
      <c r="B186" s="61" t="s">
        <v>371</v>
      </c>
      <c r="C186">
        <v>4</v>
      </c>
    </row>
    <row r="187" spans="1:3" ht="159.75" customHeight="1">
      <c r="A187" s="33">
        <v>2</v>
      </c>
      <c r="B187" s="61" t="s">
        <v>372</v>
      </c>
      <c r="C187">
        <v>4</v>
      </c>
    </row>
    <row r="188" spans="1:3" ht="159.75" customHeight="1">
      <c r="A188" s="33">
        <v>2</v>
      </c>
      <c r="B188" s="61" t="s">
        <v>373</v>
      </c>
      <c r="C188">
        <v>4</v>
      </c>
    </row>
    <row r="189" spans="1:3" ht="159.75" customHeight="1">
      <c r="A189" s="33">
        <v>2</v>
      </c>
      <c r="B189" s="61" t="s">
        <v>374</v>
      </c>
      <c r="C189">
        <v>4</v>
      </c>
    </row>
    <row r="190" spans="1:3" ht="159.75" customHeight="1">
      <c r="A190" s="33">
        <v>2</v>
      </c>
      <c r="B190" s="61" t="s">
        <v>375</v>
      </c>
      <c r="C190">
        <v>4</v>
      </c>
    </row>
    <row r="191" spans="1:3" ht="159.75" customHeight="1">
      <c r="A191" s="33">
        <v>2</v>
      </c>
      <c r="B191" s="61" t="s">
        <v>376</v>
      </c>
      <c r="C191">
        <v>4</v>
      </c>
    </row>
    <row r="192" spans="1:3" ht="159.75" customHeight="1">
      <c r="A192" s="33">
        <v>2</v>
      </c>
      <c r="B192" s="61" t="s">
        <v>377</v>
      </c>
      <c r="C192">
        <v>4</v>
      </c>
    </row>
    <row r="193" spans="1:3" ht="159.75" customHeight="1">
      <c r="A193" s="33">
        <v>2</v>
      </c>
      <c r="B193" s="61" t="s">
        <v>378</v>
      </c>
      <c r="C193">
        <v>4</v>
      </c>
    </row>
    <row r="194" spans="1:3" s="62" customFormat="1" ht="180" customHeight="1">
      <c r="A194" s="63">
        <v>1</v>
      </c>
      <c r="B194" s="62" t="s">
        <v>379</v>
      </c>
      <c r="C194">
        <v>4</v>
      </c>
    </row>
    <row r="195" spans="1:3" s="62" customFormat="1" ht="180" customHeight="1">
      <c r="A195" s="63">
        <v>1</v>
      </c>
      <c r="B195" s="62" t="s">
        <v>380</v>
      </c>
      <c r="C195">
        <v>4</v>
      </c>
    </row>
    <row r="196" spans="1:3" s="62" customFormat="1" ht="180" customHeight="1">
      <c r="A196" s="63">
        <v>1</v>
      </c>
      <c r="B196" s="62" t="s">
        <v>381</v>
      </c>
      <c r="C196">
        <v>4</v>
      </c>
    </row>
    <row r="197" spans="1:3" s="62" customFormat="1" ht="180" customHeight="1">
      <c r="A197" s="63">
        <v>3</v>
      </c>
      <c r="B197" s="62" t="s">
        <v>382</v>
      </c>
      <c r="C197">
        <v>4</v>
      </c>
    </row>
    <row r="198" spans="1:3" s="62" customFormat="1" ht="180" customHeight="1">
      <c r="A198" s="63">
        <v>3</v>
      </c>
      <c r="B198" s="62" t="s">
        <v>383</v>
      </c>
      <c r="C198">
        <v>4</v>
      </c>
    </row>
    <row r="199" spans="1:3" s="62" customFormat="1" ht="180" customHeight="1">
      <c r="A199" s="63">
        <v>1</v>
      </c>
      <c r="B199" s="62" t="s">
        <v>384</v>
      </c>
      <c r="C199">
        <v>4</v>
      </c>
    </row>
    <row r="200" spans="1:3" s="62" customFormat="1" ht="180" customHeight="1">
      <c r="A200" s="63">
        <v>1</v>
      </c>
      <c r="B200" s="62" t="s">
        <v>385</v>
      </c>
      <c r="C200">
        <v>4</v>
      </c>
    </row>
    <row r="201" spans="1:3" s="62" customFormat="1" ht="180" customHeight="1">
      <c r="A201" s="63">
        <v>1</v>
      </c>
      <c r="B201" s="62" t="s">
        <v>386</v>
      </c>
      <c r="C201">
        <v>4</v>
      </c>
    </row>
    <row r="202" spans="1:3" s="62" customFormat="1" ht="180" customHeight="1">
      <c r="A202" s="63">
        <v>1</v>
      </c>
      <c r="B202" s="62" t="s">
        <v>387</v>
      </c>
      <c r="C202">
        <v>4</v>
      </c>
    </row>
    <row r="203" spans="1:3" s="62" customFormat="1" ht="180" customHeight="1">
      <c r="A203" s="63">
        <v>1</v>
      </c>
      <c r="B203" s="62" t="s">
        <v>388</v>
      </c>
      <c r="C203">
        <v>4</v>
      </c>
    </row>
    <row r="204" spans="1:3" s="62" customFormat="1" ht="180" customHeight="1">
      <c r="A204" s="63">
        <v>3</v>
      </c>
      <c r="B204" s="62" t="s">
        <v>389</v>
      </c>
      <c r="C204">
        <v>4</v>
      </c>
    </row>
    <row r="205" spans="1:3" s="62" customFormat="1" ht="180" customHeight="1">
      <c r="A205" s="63">
        <v>3</v>
      </c>
      <c r="B205" s="62" t="s">
        <v>390</v>
      </c>
      <c r="C205">
        <v>4</v>
      </c>
    </row>
    <row r="206" spans="1:3" s="62" customFormat="1" ht="180" customHeight="1">
      <c r="A206" s="63">
        <v>3</v>
      </c>
      <c r="B206" s="62" t="s">
        <v>391</v>
      </c>
      <c r="C206">
        <v>4</v>
      </c>
    </row>
    <row r="207" spans="1:3" s="62" customFormat="1" ht="180" customHeight="1">
      <c r="A207" s="33">
        <v>1</v>
      </c>
      <c r="B207" s="62" t="s">
        <v>392</v>
      </c>
      <c r="C207">
        <v>4</v>
      </c>
    </row>
    <row r="208" spans="1:3" s="62" customFormat="1" ht="180" customHeight="1">
      <c r="A208" s="33">
        <v>1</v>
      </c>
      <c r="B208" s="62" t="s">
        <v>393</v>
      </c>
      <c r="C208">
        <v>4</v>
      </c>
    </row>
    <row r="209" spans="1:3" s="62" customFormat="1" ht="180" customHeight="1">
      <c r="A209" s="33">
        <v>1</v>
      </c>
      <c r="B209" s="62" t="s">
        <v>394</v>
      </c>
      <c r="C209">
        <v>4</v>
      </c>
    </row>
    <row r="210" spans="1:3" s="62" customFormat="1" ht="180" customHeight="1">
      <c r="A210" s="33">
        <v>2</v>
      </c>
      <c r="B210" s="62" t="s">
        <v>395</v>
      </c>
      <c r="C210">
        <v>3</v>
      </c>
    </row>
    <row r="211" spans="1:3" s="62" customFormat="1" ht="180" customHeight="1">
      <c r="A211" s="33">
        <v>2</v>
      </c>
      <c r="B211" s="62" t="s">
        <v>396</v>
      </c>
      <c r="C211">
        <v>3</v>
      </c>
    </row>
    <row r="212" spans="1:3" s="62" customFormat="1" ht="180" customHeight="1">
      <c r="A212" s="33">
        <v>2</v>
      </c>
      <c r="B212" s="62" t="s">
        <v>397</v>
      </c>
      <c r="C212">
        <v>3</v>
      </c>
    </row>
    <row r="213" spans="1:3" s="62" customFormat="1" ht="180" customHeight="1">
      <c r="A213" s="33">
        <v>3</v>
      </c>
      <c r="B213" s="62" t="s">
        <v>398</v>
      </c>
      <c r="C213">
        <v>4</v>
      </c>
    </row>
    <row r="214" spans="1:3" s="62" customFormat="1" ht="180" customHeight="1">
      <c r="A214" s="33">
        <v>3</v>
      </c>
      <c r="B214" s="62" t="s">
        <v>399</v>
      </c>
      <c r="C214">
        <v>4</v>
      </c>
    </row>
    <row r="215" spans="1:3" s="62" customFormat="1" ht="180" customHeight="1">
      <c r="A215" s="33">
        <v>3</v>
      </c>
      <c r="B215" s="62" t="s">
        <v>400</v>
      </c>
      <c r="C215">
        <v>4</v>
      </c>
    </row>
    <row r="216" spans="1:3" s="62" customFormat="1" ht="180" customHeight="1">
      <c r="A216" s="33">
        <v>3</v>
      </c>
      <c r="B216" s="62" t="s">
        <v>401</v>
      </c>
      <c r="C216">
        <v>4</v>
      </c>
    </row>
    <row r="217" spans="1:3" s="62" customFormat="1" ht="180" customHeight="1">
      <c r="A217" s="33">
        <v>4</v>
      </c>
      <c r="B217" s="62" t="s">
        <v>402</v>
      </c>
      <c r="C217">
        <v>4</v>
      </c>
    </row>
    <row r="218" spans="1:3" s="62" customFormat="1" ht="180" customHeight="1">
      <c r="A218" s="33">
        <v>4</v>
      </c>
      <c r="B218" s="62" t="s">
        <v>403</v>
      </c>
      <c r="C218">
        <v>4</v>
      </c>
    </row>
    <row r="219" spans="1:3" s="62" customFormat="1" ht="180" customHeight="1">
      <c r="A219" s="33">
        <v>4</v>
      </c>
      <c r="B219" s="62" t="s">
        <v>404</v>
      </c>
      <c r="C219">
        <v>4</v>
      </c>
    </row>
    <row r="220" spans="1:3" s="62" customFormat="1" ht="180" customHeight="1">
      <c r="A220" s="33">
        <v>4</v>
      </c>
      <c r="B220" s="62" t="s">
        <v>405</v>
      </c>
      <c r="C220">
        <v>4</v>
      </c>
    </row>
    <row r="221" spans="1:3" ht="144">
      <c r="A221" s="23">
        <v>1</v>
      </c>
      <c r="B221" s="23" t="s">
        <v>406</v>
      </c>
      <c r="C221" s="23">
        <v>1</v>
      </c>
    </row>
    <row r="222" spans="1:3" ht="86.4">
      <c r="A222" s="23">
        <v>1</v>
      </c>
      <c r="B222" s="23" t="s">
        <v>407</v>
      </c>
      <c r="C222" s="23">
        <v>1</v>
      </c>
    </row>
    <row r="223" spans="1:3" ht="57.6">
      <c r="A223" s="23">
        <v>1</v>
      </c>
      <c r="B223" s="23" t="s">
        <v>408</v>
      </c>
      <c r="C223" s="23">
        <v>1</v>
      </c>
    </row>
    <row r="224" spans="1:3" ht="43.2">
      <c r="A224" s="23">
        <v>1</v>
      </c>
      <c r="B224" s="23" t="s">
        <v>409</v>
      </c>
      <c r="C224" s="23">
        <v>1</v>
      </c>
    </row>
    <row r="225" spans="1:3" ht="86.4">
      <c r="A225" s="23">
        <v>1</v>
      </c>
      <c r="B225" s="23" t="s">
        <v>410</v>
      </c>
      <c r="C225" s="23">
        <v>1</v>
      </c>
    </row>
    <row r="226" spans="1:3" ht="57.6">
      <c r="A226" s="23">
        <v>1</v>
      </c>
      <c r="B226" s="23" t="s">
        <v>411</v>
      </c>
      <c r="C226" s="23">
        <v>1</v>
      </c>
    </row>
    <row r="227" spans="1:3" ht="72">
      <c r="A227" s="23">
        <v>1</v>
      </c>
      <c r="B227" s="23" t="s">
        <v>412</v>
      </c>
      <c r="C227" s="23">
        <v>1</v>
      </c>
    </row>
    <row r="228" spans="1:3" ht="57.6">
      <c r="A228" s="23">
        <v>1</v>
      </c>
      <c r="B228" s="23" t="s">
        <v>413</v>
      </c>
      <c r="C228" s="23">
        <v>1</v>
      </c>
    </row>
    <row r="229" spans="1:3" ht="72">
      <c r="A229" s="23">
        <v>1</v>
      </c>
      <c r="B229" s="23" t="s">
        <v>414</v>
      </c>
      <c r="C229" s="23">
        <v>1</v>
      </c>
    </row>
    <row r="230" spans="1:3" ht="86.4">
      <c r="A230" s="23">
        <v>1</v>
      </c>
      <c r="B230" s="23" t="s">
        <v>415</v>
      </c>
      <c r="C230" s="23">
        <v>1</v>
      </c>
    </row>
    <row r="231" spans="1:3" ht="72">
      <c r="A231" s="23">
        <v>1</v>
      </c>
      <c r="B231" s="23" t="s">
        <v>416</v>
      </c>
      <c r="C231" s="23">
        <v>1</v>
      </c>
    </row>
    <row r="232" spans="1:3" ht="72">
      <c r="A232" s="23">
        <v>1</v>
      </c>
      <c r="B232" s="23" t="s">
        <v>417</v>
      </c>
      <c r="C232" s="23">
        <v>1</v>
      </c>
    </row>
    <row r="233" spans="1:3" ht="86.4">
      <c r="A233" s="23">
        <v>1</v>
      </c>
      <c r="B233" s="23" t="s">
        <v>418</v>
      </c>
      <c r="C233" s="23">
        <v>1</v>
      </c>
    </row>
    <row r="234" spans="1:3" ht="100.8">
      <c r="A234" s="23">
        <v>1</v>
      </c>
      <c r="B234" s="23" t="s">
        <v>419</v>
      </c>
      <c r="C234" s="23">
        <v>1</v>
      </c>
    </row>
    <row r="235" spans="1:3" ht="72">
      <c r="A235" s="23">
        <v>1</v>
      </c>
      <c r="B235" s="23" t="s">
        <v>420</v>
      </c>
      <c r="C235" s="23">
        <v>1</v>
      </c>
    </row>
    <row r="236" spans="1:3" ht="86.4">
      <c r="A236" s="23">
        <v>1</v>
      </c>
      <c r="B236" s="23" t="s">
        <v>421</v>
      </c>
      <c r="C236" s="23">
        <v>1</v>
      </c>
    </row>
    <row r="237" spans="1:3" ht="72">
      <c r="A237" s="23">
        <v>1</v>
      </c>
      <c r="B237" s="23" t="s">
        <v>422</v>
      </c>
      <c r="C237" s="23">
        <v>1</v>
      </c>
    </row>
    <row r="238" spans="1:3" ht="86.4">
      <c r="A238" s="23">
        <v>1</v>
      </c>
      <c r="B238" s="23" t="s">
        <v>423</v>
      </c>
      <c r="C238" s="23">
        <v>1</v>
      </c>
    </row>
    <row r="239" spans="1:3" ht="100.8">
      <c r="A239" s="23">
        <v>1</v>
      </c>
      <c r="B239" s="23" t="s">
        <v>424</v>
      </c>
      <c r="C239" s="23">
        <v>1</v>
      </c>
    </row>
    <row r="240" spans="1:3" ht="86.4">
      <c r="A240" s="23">
        <v>1</v>
      </c>
      <c r="B240" s="23" t="s">
        <v>425</v>
      </c>
      <c r="C240" s="23">
        <v>1</v>
      </c>
    </row>
    <row r="241" spans="1:3" ht="100.8">
      <c r="A241" s="23">
        <v>1</v>
      </c>
      <c r="B241" s="23" t="s">
        <v>426</v>
      </c>
      <c r="C241" s="23">
        <v>1</v>
      </c>
    </row>
    <row r="242" spans="1:3" ht="100.8">
      <c r="A242" s="23">
        <v>1</v>
      </c>
      <c r="B242" s="23" t="s">
        <v>427</v>
      </c>
      <c r="C242" s="23">
        <v>1</v>
      </c>
    </row>
    <row r="243" spans="1:3" ht="57.6">
      <c r="A243" s="23">
        <v>1</v>
      </c>
      <c r="B243" s="23" t="s">
        <v>428</v>
      </c>
      <c r="C243" s="23">
        <v>1</v>
      </c>
    </row>
    <row r="244" spans="1:3" ht="86.4">
      <c r="A244" s="23">
        <v>1</v>
      </c>
      <c r="B244" s="23" t="s">
        <v>429</v>
      </c>
      <c r="C244" s="23">
        <v>2</v>
      </c>
    </row>
    <row r="245" spans="1:3" ht="115.2">
      <c r="A245" s="23">
        <v>1</v>
      </c>
      <c r="B245" s="23" t="s">
        <v>430</v>
      </c>
      <c r="C245" s="23">
        <v>2</v>
      </c>
    </row>
    <row r="246" spans="1:3" ht="100.8">
      <c r="A246" s="23">
        <v>1</v>
      </c>
      <c r="B246" s="23" t="s">
        <v>431</v>
      </c>
      <c r="C246" s="23">
        <v>2</v>
      </c>
    </row>
    <row r="247" spans="1:3" ht="57.6">
      <c r="A247" s="23">
        <v>1</v>
      </c>
      <c r="B247" s="23" t="s">
        <v>432</v>
      </c>
      <c r="C247" s="23">
        <v>2</v>
      </c>
    </row>
    <row r="248" spans="1:3" ht="72">
      <c r="A248" s="23">
        <v>1</v>
      </c>
      <c r="B248" s="23" t="s">
        <v>433</v>
      </c>
      <c r="C248" s="23">
        <v>2</v>
      </c>
    </row>
    <row r="249" spans="1:3" ht="72">
      <c r="A249" s="23">
        <v>1</v>
      </c>
      <c r="B249" s="23" t="s">
        <v>434</v>
      </c>
      <c r="C249" s="23">
        <v>2</v>
      </c>
    </row>
    <row r="250" spans="1:3" ht="57.6">
      <c r="A250" s="23">
        <v>1</v>
      </c>
      <c r="B250" s="23" t="s">
        <v>435</v>
      </c>
      <c r="C250" s="23">
        <v>2</v>
      </c>
    </row>
    <row r="251" spans="1:3" ht="57.6">
      <c r="A251" s="23">
        <v>1</v>
      </c>
      <c r="B251" s="23" t="s">
        <v>436</v>
      </c>
      <c r="C251" s="23">
        <v>2</v>
      </c>
    </row>
    <row r="252" spans="1:3" ht="43.2">
      <c r="A252" s="23">
        <v>1</v>
      </c>
      <c r="B252" s="23" t="s">
        <v>437</v>
      </c>
      <c r="C252" s="23">
        <v>2</v>
      </c>
    </row>
    <row r="253" spans="1:3" ht="100.8">
      <c r="A253" s="23">
        <v>1</v>
      </c>
      <c r="B253" s="23" t="s">
        <v>438</v>
      </c>
      <c r="C253" s="23">
        <v>2</v>
      </c>
    </row>
    <row r="254" spans="1:3" ht="86.4">
      <c r="A254" s="23">
        <v>1</v>
      </c>
      <c r="B254" s="23" t="s">
        <v>439</v>
      </c>
      <c r="C254" s="23">
        <v>2</v>
      </c>
    </row>
    <row r="255" spans="1:3" ht="158.4">
      <c r="A255" s="23">
        <v>1</v>
      </c>
      <c r="B255" s="23" t="s">
        <v>440</v>
      </c>
      <c r="C255" s="23">
        <v>2</v>
      </c>
    </row>
    <row r="256" spans="1:3" ht="72">
      <c r="A256" s="23">
        <v>1</v>
      </c>
      <c r="B256" s="23" t="s">
        <v>441</v>
      </c>
      <c r="C256" s="23">
        <v>2</v>
      </c>
    </row>
    <row r="257" spans="1:3" ht="100.8">
      <c r="A257" s="23">
        <v>1</v>
      </c>
      <c r="B257" s="23" t="s">
        <v>442</v>
      </c>
      <c r="C257" s="23">
        <v>2</v>
      </c>
    </row>
    <row r="258" spans="1:3" ht="100.8">
      <c r="A258" s="23">
        <v>1</v>
      </c>
      <c r="B258" s="23" t="s">
        <v>443</v>
      </c>
      <c r="C258" s="23">
        <v>2</v>
      </c>
    </row>
    <row r="259" spans="1:3" ht="72">
      <c r="A259" s="23">
        <v>1</v>
      </c>
      <c r="B259" s="23" t="s">
        <v>444</v>
      </c>
      <c r="C259" s="23">
        <v>2</v>
      </c>
    </row>
    <row r="260" spans="1:3" ht="86.4">
      <c r="A260" s="23">
        <v>1</v>
      </c>
      <c r="B260" s="23" t="s">
        <v>445</v>
      </c>
      <c r="C260" s="23">
        <v>2</v>
      </c>
    </row>
    <row r="261" spans="1:3" ht="72">
      <c r="A261" s="23">
        <v>1</v>
      </c>
      <c r="B261" s="23" t="s">
        <v>446</v>
      </c>
      <c r="C261" s="23">
        <v>2</v>
      </c>
    </row>
    <row r="262" spans="1:3" ht="72">
      <c r="A262" s="23">
        <v>1</v>
      </c>
      <c r="B262" s="23" t="s">
        <v>447</v>
      </c>
      <c r="C262" s="23">
        <v>2</v>
      </c>
    </row>
    <row r="263" spans="1:3" ht="129.6">
      <c r="A263" s="23">
        <v>1</v>
      </c>
      <c r="B263" s="23" t="s">
        <v>448</v>
      </c>
      <c r="C263" s="23">
        <v>2</v>
      </c>
    </row>
    <row r="264" spans="1:3" ht="86.4">
      <c r="A264" s="23">
        <v>1</v>
      </c>
      <c r="B264" s="23" t="s">
        <v>449</v>
      </c>
      <c r="C264" s="23">
        <v>2</v>
      </c>
    </row>
    <row r="265" spans="1:3" ht="72">
      <c r="A265" s="23">
        <v>1</v>
      </c>
      <c r="B265" s="23" t="s">
        <v>450</v>
      </c>
      <c r="C265" s="23">
        <v>2</v>
      </c>
    </row>
    <row r="266" spans="1:3" ht="100.8">
      <c r="A266" s="23">
        <v>1</v>
      </c>
      <c r="B266" s="23" t="s">
        <v>451</v>
      </c>
      <c r="C266" s="23">
        <v>2</v>
      </c>
    </row>
    <row r="267" spans="1:3" ht="129.6">
      <c r="A267" s="23">
        <v>1</v>
      </c>
      <c r="B267" s="23" t="s">
        <v>452</v>
      </c>
      <c r="C267" s="23">
        <v>2</v>
      </c>
    </row>
    <row r="268" spans="1:3" ht="129.6">
      <c r="A268" s="23">
        <v>1</v>
      </c>
      <c r="B268" s="23" t="s">
        <v>453</v>
      </c>
      <c r="C268" s="23">
        <v>3</v>
      </c>
    </row>
    <row r="269" spans="1:3" ht="100.8">
      <c r="A269" s="23">
        <v>1</v>
      </c>
      <c r="B269" s="23" t="s">
        <v>454</v>
      </c>
      <c r="C269" s="23">
        <v>3</v>
      </c>
    </row>
    <row r="270" spans="1:3" ht="129.6">
      <c r="A270" s="23">
        <v>1</v>
      </c>
      <c r="B270" s="23" t="s">
        <v>455</v>
      </c>
      <c r="C270" s="23">
        <v>3</v>
      </c>
    </row>
    <row r="271" spans="1:3" ht="144">
      <c r="A271" s="23">
        <v>1</v>
      </c>
      <c r="B271" s="23" t="s">
        <v>456</v>
      </c>
      <c r="C271" s="23">
        <v>3</v>
      </c>
    </row>
    <row r="272" spans="1:3" ht="129.6">
      <c r="A272" s="23">
        <v>1</v>
      </c>
      <c r="B272" s="23" t="s">
        <v>457</v>
      </c>
      <c r="C272" s="23">
        <v>3</v>
      </c>
    </row>
    <row r="273" spans="1:3" ht="100.8">
      <c r="A273" s="23">
        <v>1</v>
      </c>
      <c r="B273" s="23" t="s">
        <v>458</v>
      </c>
      <c r="C273" s="23">
        <v>3</v>
      </c>
    </row>
    <row r="274" spans="1:3" ht="115.2">
      <c r="A274" s="23">
        <v>1</v>
      </c>
      <c r="B274" s="23" t="s">
        <v>459</v>
      </c>
      <c r="C274" s="23">
        <v>3</v>
      </c>
    </row>
    <row r="275" spans="1:3" ht="144">
      <c r="A275" s="23">
        <v>1</v>
      </c>
      <c r="B275" s="23" t="s">
        <v>460</v>
      </c>
      <c r="C275" s="23">
        <v>3</v>
      </c>
    </row>
    <row r="276" spans="1:3" ht="158.4">
      <c r="A276" s="23">
        <v>1</v>
      </c>
      <c r="B276" s="23" t="s">
        <v>461</v>
      </c>
      <c r="C276" s="23">
        <v>3</v>
      </c>
    </row>
    <row r="277" spans="1:3" ht="100.8">
      <c r="A277" s="23">
        <v>1</v>
      </c>
      <c r="B277" s="23" t="s">
        <v>462</v>
      </c>
      <c r="C277" s="23">
        <v>3</v>
      </c>
    </row>
    <row r="278" spans="1:3" ht="144">
      <c r="A278" s="23">
        <v>1</v>
      </c>
      <c r="B278" s="23" t="s">
        <v>463</v>
      </c>
      <c r="C278" s="23">
        <v>3</v>
      </c>
    </row>
    <row r="279" spans="1:3" ht="129.6">
      <c r="A279" s="23">
        <v>1</v>
      </c>
      <c r="B279" s="23" t="s">
        <v>464</v>
      </c>
      <c r="C279" s="23">
        <v>3</v>
      </c>
    </row>
    <row r="280" spans="1:3" ht="115.2">
      <c r="A280" s="23">
        <v>1</v>
      </c>
      <c r="B280" s="23" t="s">
        <v>465</v>
      </c>
      <c r="C280" s="23">
        <v>3</v>
      </c>
    </row>
    <row r="281" spans="1:3" ht="158.4">
      <c r="A281" s="23">
        <v>1</v>
      </c>
      <c r="B281" s="23" t="s">
        <v>466</v>
      </c>
      <c r="C281" s="23">
        <v>3</v>
      </c>
    </row>
    <row r="282" spans="1:3" ht="144">
      <c r="A282" s="23">
        <v>1</v>
      </c>
      <c r="B282" s="23" t="s">
        <v>467</v>
      </c>
      <c r="C282" s="23">
        <v>3</v>
      </c>
    </row>
    <row r="283" spans="1:3" ht="115.2">
      <c r="A283" s="23">
        <v>1</v>
      </c>
      <c r="B283" s="23" t="s">
        <v>468</v>
      </c>
      <c r="C283" s="23">
        <v>3</v>
      </c>
    </row>
    <row r="284" spans="1:3" ht="115.2">
      <c r="A284" s="23">
        <v>1</v>
      </c>
      <c r="B284" s="23" t="s">
        <v>469</v>
      </c>
      <c r="C284" s="23">
        <v>3</v>
      </c>
    </row>
    <row r="285" spans="1:3" ht="129.6">
      <c r="A285" s="23">
        <v>1</v>
      </c>
      <c r="B285" s="23" t="s">
        <v>470</v>
      </c>
      <c r="C285" s="23">
        <v>3</v>
      </c>
    </row>
    <row r="286" spans="1:3" ht="72">
      <c r="A286" s="23">
        <v>1</v>
      </c>
      <c r="B286" s="23" t="s">
        <v>471</v>
      </c>
      <c r="C286" s="23">
        <v>3</v>
      </c>
    </row>
    <row r="287" spans="1:3" ht="43.2">
      <c r="A287" s="23">
        <v>1</v>
      </c>
      <c r="B287" s="23" t="s">
        <v>472</v>
      </c>
      <c r="C287" s="23">
        <v>3</v>
      </c>
    </row>
    <row r="288" spans="1:3" ht="100.8">
      <c r="A288" s="23">
        <v>1</v>
      </c>
      <c r="B288" s="23" t="s">
        <v>473</v>
      </c>
      <c r="C288" s="23">
        <v>3</v>
      </c>
    </row>
    <row r="289" spans="1:3" ht="100.8">
      <c r="A289" s="23">
        <v>1</v>
      </c>
      <c r="B289" s="23" t="s">
        <v>474</v>
      </c>
      <c r="C289" s="23">
        <v>3</v>
      </c>
    </row>
    <row r="290" spans="1:3" ht="57.6">
      <c r="A290" s="23">
        <v>2</v>
      </c>
      <c r="B290" s="23" t="s">
        <v>475</v>
      </c>
      <c r="C290" s="23">
        <v>4</v>
      </c>
    </row>
    <row r="291" spans="1:3" ht="43.2">
      <c r="A291" s="23">
        <v>2</v>
      </c>
      <c r="B291" s="23" t="s">
        <v>476</v>
      </c>
      <c r="C291" s="23">
        <v>4</v>
      </c>
    </row>
    <row r="292" spans="1:3" ht="43.2">
      <c r="A292" s="23">
        <v>2</v>
      </c>
      <c r="B292" s="23" t="s">
        <v>477</v>
      </c>
      <c r="C292" s="23">
        <v>4</v>
      </c>
    </row>
    <row r="293" spans="1:3" ht="57.6">
      <c r="A293" s="23">
        <v>2</v>
      </c>
      <c r="B293" s="23" t="s">
        <v>478</v>
      </c>
      <c r="C293" s="23">
        <v>4</v>
      </c>
    </row>
    <row r="294" spans="1:3" ht="72">
      <c r="A294" s="23">
        <v>2</v>
      </c>
      <c r="B294" s="23" t="s">
        <v>479</v>
      </c>
      <c r="C294" s="23">
        <v>4</v>
      </c>
    </row>
    <row r="295" spans="1:3" ht="43.2">
      <c r="A295" s="23">
        <v>2</v>
      </c>
      <c r="B295" s="23" t="s">
        <v>480</v>
      </c>
      <c r="C295" s="23">
        <v>4</v>
      </c>
    </row>
    <row r="296" spans="1:3" ht="86.4">
      <c r="A296" s="23">
        <v>2</v>
      </c>
      <c r="B296" s="23" t="s">
        <v>481</v>
      </c>
      <c r="C296" s="23">
        <v>4</v>
      </c>
    </row>
    <row r="297" spans="1:3" ht="100.8">
      <c r="A297" s="23">
        <v>2</v>
      </c>
      <c r="B297" s="23" t="s">
        <v>482</v>
      </c>
      <c r="C297" s="23">
        <v>4</v>
      </c>
    </row>
    <row r="298" spans="1:3" ht="86.4">
      <c r="A298" s="23">
        <v>2</v>
      </c>
      <c r="B298" s="23" t="s">
        <v>483</v>
      </c>
      <c r="C298" s="23">
        <v>4</v>
      </c>
    </row>
    <row r="299" spans="1:3" ht="115.2">
      <c r="A299" s="23">
        <v>2</v>
      </c>
      <c r="B299" s="23" t="s">
        <v>484</v>
      </c>
      <c r="C299" s="23">
        <v>4</v>
      </c>
    </row>
    <row r="300" spans="1:3" ht="115.2">
      <c r="A300" s="23">
        <v>2</v>
      </c>
      <c r="B300" s="23" t="s">
        <v>485</v>
      </c>
      <c r="C300" s="23">
        <v>4</v>
      </c>
    </row>
    <row r="301" spans="1:3" ht="100.8">
      <c r="A301" s="23">
        <v>2</v>
      </c>
      <c r="B301" s="23" t="s">
        <v>486</v>
      </c>
      <c r="C301" s="23">
        <v>4</v>
      </c>
    </row>
    <row r="302" spans="1:3" ht="115.2">
      <c r="A302" s="23">
        <v>2</v>
      </c>
      <c r="B302" s="23" t="s">
        <v>487</v>
      </c>
      <c r="C302" s="23">
        <v>4</v>
      </c>
    </row>
    <row r="303" spans="1:3" ht="115.2">
      <c r="A303" s="23">
        <v>2</v>
      </c>
      <c r="B303" s="23" t="s">
        <v>488</v>
      </c>
      <c r="C303" s="23">
        <v>4</v>
      </c>
    </row>
    <row r="304" spans="1:3" ht="144">
      <c r="A304" s="23">
        <v>2</v>
      </c>
      <c r="B304" s="23" t="s">
        <v>489</v>
      </c>
      <c r="C304" s="23">
        <v>4</v>
      </c>
    </row>
    <row r="305" spans="1:3" ht="144">
      <c r="A305" s="23">
        <v>2</v>
      </c>
      <c r="B305" s="23" t="s">
        <v>490</v>
      </c>
      <c r="C305" s="23">
        <v>4</v>
      </c>
    </row>
    <row r="306" spans="1:3" ht="86.4">
      <c r="A306" s="23">
        <v>2</v>
      </c>
      <c r="B306" s="23" t="s">
        <v>491</v>
      </c>
      <c r="C306" s="23">
        <v>4</v>
      </c>
    </row>
    <row r="307" spans="1:3" ht="100.8">
      <c r="A307" s="23">
        <v>2</v>
      </c>
      <c r="B307" s="23" t="s">
        <v>492</v>
      </c>
      <c r="C307" s="23">
        <v>3</v>
      </c>
    </row>
    <row r="308" spans="1:3" ht="100.8">
      <c r="A308" s="23">
        <v>2</v>
      </c>
      <c r="B308" s="23" t="s">
        <v>493</v>
      </c>
      <c r="C308" s="23">
        <v>4</v>
      </c>
    </row>
    <row r="309" spans="1:3" ht="115.2">
      <c r="A309" s="23">
        <v>2</v>
      </c>
      <c r="B309" s="23" t="s">
        <v>494</v>
      </c>
      <c r="C309" s="23">
        <v>3</v>
      </c>
    </row>
    <row r="310" spans="1:3" ht="115.2">
      <c r="A310" s="23">
        <v>2</v>
      </c>
      <c r="B310" s="23" t="s">
        <v>495</v>
      </c>
      <c r="C310" s="23">
        <v>3</v>
      </c>
    </row>
    <row r="311" spans="1:3" ht="100.8">
      <c r="A311" s="23">
        <v>2</v>
      </c>
      <c r="B311" s="23" t="s">
        <v>496</v>
      </c>
      <c r="C311" s="23">
        <v>3</v>
      </c>
    </row>
    <row r="312" spans="1:3" ht="72">
      <c r="A312" s="23">
        <v>2</v>
      </c>
      <c r="B312" s="23" t="s">
        <v>497</v>
      </c>
      <c r="C312" s="23">
        <v>3</v>
      </c>
    </row>
    <row r="313" spans="1:3" ht="129.6">
      <c r="A313" s="23">
        <v>2</v>
      </c>
      <c r="B313" s="23" t="s">
        <v>498</v>
      </c>
      <c r="C313" s="23">
        <v>3</v>
      </c>
    </row>
    <row r="314" spans="1:3" ht="115.2">
      <c r="A314" s="23">
        <v>2</v>
      </c>
      <c r="B314" s="23" t="s">
        <v>499</v>
      </c>
      <c r="C314" s="23">
        <v>3</v>
      </c>
    </row>
    <row r="315" spans="1:3" ht="100.8">
      <c r="A315" s="23">
        <v>2</v>
      </c>
      <c r="B315" s="23" t="s">
        <v>500</v>
      </c>
      <c r="C315" s="23">
        <v>3</v>
      </c>
    </row>
    <row r="316" spans="1:3" ht="72">
      <c r="A316" s="23">
        <v>2</v>
      </c>
      <c r="B316" s="23" t="s">
        <v>501</v>
      </c>
      <c r="C316" s="23">
        <v>3</v>
      </c>
    </row>
    <row r="317" spans="1:3" ht="100.8">
      <c r="A317" s="23">
        <v>2</v>
      </c>
      <c r="B317" s="23" t="s">
        <v>502</v>
      </c>
      <c r="C317" s="23">
        <v>3</v>
      </c>
    </row>
    <row r="318" spans="1:3" ht="100.8">
      <c r="A318" s="23">
        <v>2</v>
      </c>
      <c r="B318" s="23" t="s">
        <v>503</v>
      </c>
      <c r="C318" s="23">
        <v>3</v>
      </c>
    </row>
    <row r="319" spans="1:3" ht="100.8">
      <c r="A319" s="23">
        <v>2</v>
      </c>
      <c r="B319" s="23" t="s">
        <v>504</v>
      </c>
      <c r="C319" s="23">
        <v>3</v>
      </c>
    </row>
    <row r="320" spans="1:3" ht="115.2">
      <c r="A320" s="23">
        <v>2</v>
      </c>
      <c r="B320" s="23" t="s">
        <v>505</v>
      </c>
      <c r="C320" s="23">
        <v>3</v>
      </c>
    </row>
    <row r="321" spans="1:3" ht="115.2">
      <c r="A321" s="23">
        <v>2</v>
      </c>
      <c r="B321" s="23" t="s">
        <v>506</v>
      </c>
      <c r="C321" s="23">
        <v>3</v>
      </c>
    </row>
    <row r="322" spans="1:3" ht="115.2">
      <c r="A322" s="23">
        <v>2</v>
      </c>
      <c r="B322" s="23" t="s">
        <v>507</v>
      </c>
      <c r="C322" s="23">
        <v>2</v>
      </c>
    </row>
    <row r="323" spans="1:3" ht="144">
      <c r="A323" s="23">
        <v>2</v>
      </c>
      <c r="B323" s="23" t="s">
        <v>508</v>
      </c>
      <c r="C323" s="23">
        <v>3</v>
      </c>
    </row>
    <row r="324" spans="1:3" ht="115.2">
      <c r="A324" s="23">
        <v>2</v>
      </c>
      <c r="B324" s="23" t="s">
        <v>509</v>
      </c>
      <c r="C324" s="23">
        <v>2</v>
      </c>
    </row>
    <row r="325" spans="1:3" ht="115.2">
      <c r="A325" s="23">
        <v>2</v>
      </c>
      <c r="B325" s="23" t="s">
        <v>510</v>
      </c>
      <c r="C325" s="23">
        <v>2</v>
      </c>
    </row>
    <row r="326" spans="1:3" ht="115.2">
      <c r="A326" s="23">
        <v>2</v>
      </c>
      <c r="B326" s="23" t="s">
        <v>511</v>
      </c>
      <c r="C326" s="23">
        <v>2</v>
      </c>
    </row>
    <row r="327" spans="1:3" ht="100.8">
      <c r="A327" s="23">
        <v>2</v>
      </c>
      <c r="B327" s="23" t="s">
        <v>512</v>
      </c>
      <c r="C327" s="23">
        <v>2</v>
      </c>
    </row>
    <row r="328" spans="1:3" ht="115.2">
      <c r="A328" s="23">
        <v>2</v>
      </c>
      <c r="B328" s="23" t="s">
        <v>513</v>
      </c>
      <c r="C328" s="23">
        <v>2</v>
      </c>
    </row>
    <row r="329" spans="1:3" ht="86.4">
      <c r="A329" s="23">
        <v>2</v>
      </c>
      <c r="B329" s="23" t="s">
        <v>514</v>
      </c>
      <c r="C329" s="23">
        <v>2</v>
      </c>
    </row>
    <row r="330" spans="1:3" ht="115.2">
      <c r="A330" s="23">
        <v>2</v>
      </c>
      <c r="B330" s="23" t="s">
        <v>515</v>
      </c>
      <c r="C330" s="23">
        <v>2</v>
      </c>
    </row>
    <row r="331" spans="1:3" ht="115.2">
      <c r="A331" s="23">
        <v>2</v>
      </c>
      <c r="B331" s="23" t="s">
        <v>516</v>
      </c>
      <c r="C331" s="23">
        <v>2</v>
      </c>
    </row>
    <row r="332" spans="1:3" ht="129.6">
      <c r="A332" s="23">
        <v>2</v>
      </c>
      <c r="B332" s="23" t="s">
        <v>517</v>
      </c>
      <c r="C332" s="23">
        <v>2</v>
      </c>
    </row>
    <row r="333" spans="1:3" ht="129.6">
      <c r="A333" s="23">
        <v>2</v>
      </c>
      <c r="B333" s="23" t="s">
        <v>518</v>
      </c>
      <c r="C333" s="23">
        <v>2</v>
      </c>
    </row>
    <row r="334" spans="1:3" ht="115.2">
      <c r="A334" s="23">
        <v>2</v>
      </c>
      <c r="B334" s="23" t="s">
        <v>519</v>
      </c>
      <c r="C334" s="23">
        <v>2</v>
      </c>
    </row>
    <row r="335" spans="1:3" ht="129.6">
      <c r="A335" s="23">
        <v>2</v>
      </c>
      <c r="B335" s="23" t="s">
        <v>520</v>
      </c>
      <c r="C335" s="23">
        <v>2</v>
      </c>
    </row>
    <row r="336" spans="1:3" ht="115.2">
      <c r="A336" s="23">
        <v>2</v>
      </c>
      <c r="B336" s="23" t="s">
        <v>521</v>
      </c>
      <c r="C336" s="23">
        <v>2</v>
      </c>
    </row>
    <row r="337" spans="1:3" ht="129.6">
      <c r="A337" s="23">
        <v>2</v>
      </c>
      <c r="B337" s="23" t="s">
        <v>522</v>
      </c>
      <c r="C337" s="23">
        <v>2</v>
      </c>
    </row>
    <row r="338" spans="1:3" ht="115.2">
      <c r="A338" s="23">
        <v>2</v>
      </c>
      <c r="B338" s="23" t="s">
        <v>523</v>
      </c>
      <c r="C338" s="23">
        <v>2</v>
      </c>
    </row>
    <row r="339" spans="1:3" ht="115.2">
      <c r="A339" s="23">
        <v>2</v>
      </c>
      <c r="B339" s="23" t="s">
        <v>524</v>
      </c>
      <c r="C339" s="23">
        <v>2</v>
      </c>
    </row>
    <row r="340" spans="1:3" ht="115.2">
      <c r="A340" s="23">
        <v>2</v>
      </c>
      <c r="B340" s="23" t="s">
        <v>525</v>
      </c>
      <c r="C340" s="23">
        <v>2</v>
      </c>
    </row>
    <row r="341" spans="1:3" ht="86.4">
      <c r="A341" s="23">
        <v>2</v>
      </c>
      <c r="B341" s="23" t="s">
        <v>526</v>
      </c>
      <c r="C341" s="23">
        <v>1</v>
      </c>
    </row>
    <row r="342" spans="1:3" ht="72">
      <c r="A342" s="23">
        <v>2</v>
      </c>
      <c r="B342" s="23" t="s">
        <v>527</v>
      </c>
      <c r="C342" s="23">
        <v>1</v>
      </c>
    </row>
    <row r="343" spans="1:3" ht="57.6">
      <c r="A343" s="23">
        <v>2</v>
      </c>
      <c r="B343" s="23" t="s">
        <v>528</v>
      </c>
      <c r="C343" s="23">
        <v>1</v>
      </c>
    </row>
    <row r="344" spans="1:3" ht="100.8">
      <c r="A344" s="23">
        <v>2</v>
      </c>
      <c r="B344" s="23" t="s">
        <v>529</v>
      </c>
      <c r="C344" s="23">
        <v>1</v>
      </c>
    </row>
    <row r="345" spans="1:3" ht="86.4">
      <c r="A345" s="23">
        <v>2</v>
      </c>
      <c r="B345" s="23" t="s">
        <v>530</v>
      </c>
      <c r="C345" s="23">
        <v>1</v>
      </c>
    </row>
    <row r="346" spans="1:3" ht="86.4">
      <c r="A346" s="23">
        <v>2</v>
      </c>
      <c r="B346" s="23" t="s">
        <v>531</v>
      </c>
      <c r="C346" s="23">
        <v>1</v>
      </c>
    </row>
    <row r="347" spans="1:3" ht="129.6">
      <c r="A347" s="23">
        <v>2</v>
      </c>
      <c r="B347" s="23" t="s">
        <v>532</v>
      </c>
      <c r="C347" s="23">
        <v>1</v>
      </c>
    </row>
    <row r="348" spans="1:3" ht="115.2">
      <c r="A348" s="23">
        <v>2</v>
      </c>
      <c r="B348" s="23" t="s">
        <v>533</v>
      </c>
      <c r="C348" s="23">
        <v>1</v>
      </c>
    </row>
    <row r="349" spans="1:3" ht="86.4">
      <c r="A349" s="23">
        <v>2</v>
      </c>
      <c r="B349" s="23" t="s">
        <v>534</v>
      </c>
      <c r="C349" s="23">
        <v>1</v>
      </c>
    </row>
    <row r="350" spans="1:3" ht="100.8">
      <c r="A350" s="23">
        <v>2</v>
      </c>
      <c r="B350" s="23" t="s">
        <v>535</v>
      </c>
      <c r="C350" s="23">
        <v>1</v>
      </c>
    </row>
    <row r="351" spans="1:3" ht="129.6">
      <c r="A351" s="23">
        <v>2</v>
      </c>
      <c r="B351" s="23" t="s">
        <v>536</v>
      </c>
      <c r="C351" s="23">
        <v>1</v>
      </c>
    </row>
    <row r="352" spans="1:3" ht="100.8">
      <c r="A352" s="23">
        <v>2</v>
      </c>
      <c r="B352" s="23" t="s">
        <v>537</v>
      </c>
      <c r="C352" s="23">
        <v>1</v>
      </c>
    </row>
    <row r="353" spans="1:3" ht="100.8">
      <c r="A353" s="23">
        <v>2</v>
      </c>
      <c r="B353" s="23" t="s">
        <v>538</v>
      </c>
      <c r="C353" s="23">
        <v>1</v>
      </c>
    </row>
    <row r="354" spans="1:3" s="62" customFormat="1" ht="180" customHeight="1">
      <c r="A354" s="62">
        <v>4</v>
      </c>
      <c r="B354" s="62" t="s">
        <v>539</v>
      </c>
      <c r="C354" s="62">
        <v>4</v>
      </c>
    </row>
    <row r="355" spans="1:3" s="61" customFormat="1" ht="180" customHeight="1">
      <c r="A355" s="61">
        <v>4</v>
      </c>
      <c r="B355" s="61" t="s">
        <v>540</v>
      </c>
      <c r="C355" s="61">
        <v>4</v>
      </c>
    </row>
    <row r="356" spans="1:3" s="61" customFormat="1" ht="180" customHeight="1">
      <c r="A356" s="61">
        <v>4</v>
      </c>
      <c r="B356" s="61" t="s">
        <v>541</v>
      </c>
      <c r="C356" s="61">
        <v>4</v>
      </c>
    </row>
    <row r="357" spans="1:3" s="61" customFormat="1" ht="180" customHeight="1">
      <c r="A357" s="61">
        <v>4</v>
      </c>
      <c r="B357" s="61" t="s">
        <v>542</v>
      </c>
      <c r="C357" s="61">
        <v>4</v>
      </c>
    </row>
    <row r="358" spans="1:3" s="62" customFormat="1" ht="180" customHeight="1">
      <c r="A358" s="62">
        <v>4</v>
      </c>
      <c r="B358" s="62" t="s">
        <v>543</v>
      </c>
      <c r="C358" s="62">
        <v>4</v>
      </c>
    </row>
    <row r="359" spans="1:3" s="62" customFormat="1" ht="180" customHeight="1">
      <c r="A359" s="62">
        <v>4</v>
      </c>
      <c r="B359" s="62" t="s">
        <v>544</v>
      </c>
      <c r="C359" s="62">
        <v>4</v>
      </c>
    </row>
    <row r="360" spans="1:3" s="62" customFormat="1" ht="180" customHeight="1">
      <c r="A360" s="62">
        <v>4</v>
      </c>
      <c r="B360" s="62" t="s">
        <v>545</v>
      </c>
      <c r="C360" s="62">
        <v>4</v>
      </c>
    </row>
    <row r="361" spans="1:3" s="62" customFormat="1" ht="180" customHeight="1">
      <c r="A361" s="62">
        <v>4</v>
      </c>
      <c r="B361" s="62" t="s">
        <v>546</v>
      </c>
      <c r="C361" s="62">
        <v>4</v>
      </c>
    </row>
    <row r="362" spans="1:3" s="62" customFormat="1" ht="180" customHeight="1">
      <c r="A362" s="62">
        <v>4</v>
      </c>
      <c r="B362" s="62" t="s">
        <v>547</v>
      </c>
      <c r="C362" s="62">
        <v>4</v>
      </c>
    </row>
    <row r="363" spans="1:3" s="62" customFormat="1" ht="180" customHeight="1">
      <c r="A363" s="62">
        <v>4</v>
      </c>
      <c r="B363" s="62" t="s">
        <v>548</v>
      </c>
      <c r="C363" s="62">
        <v>4</v>
      </c>
    </row>
    <row r="364" spans="1:3" s="62" customFormat="1" ht="180" customHeight="1">
      <c r="A364" s="62">
        <v>4</v>
      </c>
      <c r="B364" s="62" t="s">
        <v>549</v>
      </c>
      <c r="C364" s="62">
        <v>4</v>
      </c>
    </row>
    <row r="365" spans="1:3" s="62" customFormat="1" ht="180" customHeight="1">
      <c r="A365" s="62">
        <v>4</v>
      </c>
      <c r="B365" s="62" t="s">
        <v>550</v>
      </c>
      <c r="C365" s="62">
        <v>4</v>
      </c>
    </row>
    <row r="366" spans="1:3" s="62" customFormat="1" ht="180" customHeight="1">
      <c r="A366" s="62">
        <v>4</v>
      </c>
      <c r="B366" s="62" t="s">
        <v>551</v>
      </c>
      <c r="C366" s="62">
        <v>4</v>
      </c>
    </row>
    <row r="367" spans="1:3" s="62" customFormat="1" ht="180" customHeight="1">
      <c r="A367" s="62">
        <v>4</v>
      </c>
      <c r="B367" s="62" t="s">
        <v>552</v>
      </c>
      <c r="C367" s="62">
        <v>4</v>
      </c>
    </row>
    <row r="368" spans="1:3" s="62" customFormat="1" ht="180" customHeight="1">
      <c r="A368" s="62">
        <v>4</v>
      </c>
      <c r="B368" s="62" t="s">
        <v>553</v>
      </c>
      <c r="C368" s="62">
        <v>4</v>
      </c>
    </row>
    <row r="369" spans="1:3" s="62" customFormat="1" ht="180" customHeight="1">
      <c r="A369" s="62">
        <v>4</v>
      </c>
      <c r="B369" s="62" t="s">
        <v>554</v>
      </c>
      <c r="C369" s="62">
        <v>4</v>
      </c>
    </row>
    <row r="370" spans="1:3" s="62" customFormat="1" ht="180" customHeight="1">
      <c r="A370" s="62">
        <v>4</v>
      </c>
      <c r="B370" s="62" t="s">
        <v>555</v>
      </c>
      <c r="C370" s="62">
        <v>3</v>
      </c>
    </row>
    <row r="371" spans="1:3" s="62" customFormat="1" ht="180" customHeight="1">
      <c r="A371" s="62">
        <v>4</v>
      </c>
      <c r="B371" s="62" t="s">
        <v>556</v>
      </c>
      <c r="C371" s="62">
        <v>3</v>
      </c>
    </row>
    <row r="372" spans="1:3" s="62" customFormat="1" ht="180" customHeight="1">
      <c r="A372" s="62">
        <v>4</v>
      </c>
      <c r="B372" s="62" t="s">
        <v>557</v>
      </c>
      <c r="C372" s="62">
        <v>3</v>
      </c>
    </row>
    <row r="373" spans="1:3" s="62" customFormat="1" ht="180" customHeight="1">
      <c r="A373" s="62">
        <v>4</v>
      </c>
      <c r="B373" s="62" t="s">
        <v>558</v>
      </c>
      <c r="C373" s="62">
        <v>3</v>
      </c>
    </row>
    <row r="374" spans="1:3" s="62" customFormat="1" ht="180" customHeight="1">
      <c r="A374" s="62">
        <v>4</v>
      </c>
      <c r="B374" s="62" t="s">
        <v>559</v>
      </c>
      <c r="C374" s="62">
        <v>2</v>
      </c>
    </row>
    <row r="375" spans="1:3" s="62" customFormat="1" ht="180" customHeight="1">
      <c r="A375" s="62">
        <v>4</v>
      </c>
      <c r="B375" s="62" t="s">
        <v>560</v>
      </c>
      <c r="C375" s="62">
        <v>2</v>
      </c>
    </row>
    <row r="376" spans="1:3" s="62" customFormat="1" ht="180" customHeight="1">
      <c r="A376" s="62">
        <v>4</v>
      </c>
      <c r="B376" s="62" t="s">
        <v>561</v>
      </c>
      <c r="C376" s="62">
        <v>2</v>
      </c>
    </row>
    <row r="377" spans="1:3" s="62" customFormat="1" ht="180" customHeight="1">
      <c r="A377" s="62">
        <v>4</v>
      </c>
      <c r="B377" s="62" t="s">
        <v>562</v>
      </c>
      <c r="C377" s="62">
        <v>2</v>
      </c>
    </row>
    <row r="378" spans="1:3" s="62" customFormat="1" ht="180" customHeight="1">
      <c r="A378" s="62">
        <v>4</v>
      </c>
      <c r="B378" s="62" t="s">
        <v>563</v>
      </c>
      <c r="C378" s="62">
        <v>2</v>
      </c>
    </row>
    <row r="379" spans="1:3" s="62" customFormat="1" ht="180" customHeight="1">
      <c r="A379" s="62">
        <v>4</v>
      </c>
      <c r="B379" s="62" t="s">
        <v>564</v>
      </c>
      <c r="C379" s="62">
        <v>2</v>
      </c>
    </row>
    <row r="380" spans="1:3" s="62" customFormat="1" ht="180" customHeight="1">
      <c r="A380" s="62">
        <v>4</v>
      </c>
      <c r="B380" s="62" t="s">
        <v>565</v>
      </c>
      <c r="C380" s="62">
        <v>2</v>
      </c>
    </row>
    <row r="381" spans="1:3" s="62" customFormat="1" ht="180" customHeight="1">
      <c r="A381" s="62">
        <v>4</v>
      </c>
      <c r="B381" s="62" t="s">
        <v>566</v>
      </c>
      <c r="C381" s="62">
        <v>2</v>
      </c>
    </row>
    <row r="382" spans="1:3" s="62" customFormat="1" ht="180" customHeight="1">
      <c r="A382" s="62">
        <v>4</v>
      </c>
      <c r="B382" s="62" t="s">
        <v>567</v>
      </c>
      <c r="C382" s="62">
        <v>2</v>
      </c>
    </row>
    <row r="383" spans="1:3" s="62" customFormat="1" ht="180" customHeight="1">
      <c r="A383" s="62">
        <v>4</v>
      </c>
      <c r="B383" s="62" t="s">
        <v>568</v>
      </c>
      <c r="C383" s="62">
        <v>2</v>
      </c>
    </row>
    <row r="384" spans="1:3" s="62" customFormat="1" ht="180" customHeight="1">
      <c r="A384" s="62">
        <v>4</v>
      </c>
      <c r="B384" s="62" t="s">
        <v>569</v>
      </c>
      <c r="C384" s="62">
        <v>2</v>
      </c>
    </row>
    <row r="385" spans="1:3" s="62" customFormat="1" ht="180" customHeight="1">
      <c r="A385" s="62">
        <v>4</v>
      </c>
      <c r="B385" s="62" t="s">
        <v>570</v>
      </c>
      <c r="C385" s="62">
        <v>2</v>
      </c>
    </row>
    <row r="386" spans="1:3" s="62" customFormat="1" ht="180" customHeight="1">
      <c r="A386" s="62">
        <v>4</v>
      </c>
      <c r="B386" s="62" t="s">
        <v>571</v>
      </c>
      <c r="C386" s="62">
        <v>1</v>
      </c>
    </row>
    <row r="387" spans="1:3" s="62" customFormat="1" ht="180" customHeight="1">
      <c r="A387" s="62">
        <v>4</v>
      </c>
      <c r="B387" s="62" t="s">
        <v>572</v>
      </c>
      <c r="C387" s="62">
        <v>1</v>
      </c>
    </row>
    <row r="388" spans="1:3" s="62" customFormat="1" ht="180" customHeight="1">
      <c r="A388" s="62">
        <v>4</v>
      </c>
      <c r="B388" s="62" t="s">
        <v>573</v>
      </c>
      <c r="C388" s="62">
        <v>1</v>
      </c>
    </row>
    <row r="389" spans="1:3" s="62" customFormat="1" ht="180" customHeight="1">
      <c r="A389" s="62">
        <v>4</v>
      </c>
      <c r="B389" s="62" t="s">
        <v>574</v>
      </c>
      <c r="C389" s="62">
        <v>1</v>
      </c>
    </row>
    <row r="390" spans="1:3" s="62" customFormat="1" ht="180" customHeight="1">
      <c r="A390" s="62">
        <v>4</v>
      </c>
      <c r="B390" s="65" t="s">
        <v>575</v>
      </c>
      <c r="C390" s="62">
        <v>1</v>
      </c>
    </row>
    <row r="391" spans="1:3" s="62" customFormat="1" ht="180" customHeight="1">
      <c r="A391" s="62">
        <v>4</v>
      </c>
      <c r="B391" s="62" t="s">
        <v>576</v>
      </c>
      <c r="C391" s="62">
        <v>1</v>
      </c>
    </row>
    <row r="392" spans="1:3" s="62" customFormat="1" ht="180" customHeight="1">
      <c r="A392" s="62">
        <v>4</v>
      </c>
      <c r="B392" s="65" t="s">
        <v>577</v>
      </c>
      <c r="C392" s="62">
        <v>1</v>
      </c>
    </row>
    <row r="393" spans="1:3" s="62" customFormat="1" ht="180" customHeight="1">
      <c r="A393" s="62">
        <v>4</v>
      </c>
      <c r="B393" s="62" t="s">
        <v>578</v>
      </c>
      <c r="C393" s="62">
        <v>1</v>
      </c>
    </row>
    <row r="394" spans="1:3" s="62" customFormat="1" ht="180" customHeight="1">
      <c r="A394" s="62">
        <v>4</v>
      </c>
      <c r="B394" s="62" t="s">
        <v>579</v>
      </c>
      <c r="C394" s="62">
        <v>1</v>
      </c>
    </row>
    <row r="395" spans="1:3" s="62" customFormat="1" ht="180" customHeight="1">
      <c r="A395" s="62">
        <v>4</v>
      </c>
      <c r="B395" s="62" t="s">
        <v>580</v>
      </c>
      <c r="C395" s="62">
        <v>1</v>
      </c>
    </row>
    <row r="396" spans="1:3" s="62" customFormat="1" ht="180" customHeight="1">
      <c r="A396" s="62">
        <v>4</v>
      </c>
      <c r="B396" s="62" t="s">
        <v>581</v>
      </c>
      <c r="C396" s="62">
        <v>1</v>
      </c>
    </row>
    <row r="397" spans="1:3" s="62" customFormat="1" ht="180" customHeight="1">
      <c r="A397" s="62">
        <v>4</v>
      </c>
      <c r="B397" s="62" t="s">
        <v>582</v>
      </c>
      <c r="C397" s="62">
        <v>1</v>
      </c>
    </row>
    <row r="398" spans="1:3" ht="158.4">
      <c r="A398">
        <v>2</v>
      </c>
      <c r="B398" s="23" t="s">
        <v>583</v>
      </c>
      <c r="C398" s="23">
        <v>2</v>
      </c>
    </row>
    <row r="399" spans="1:3" ht="100.8">
      <c r="A399">
        <v>2</v>
      </c>
      <c r="B399" s="23" t="s">
        <v>584</v>
      </c>
      <c r="C399" s="23">
        <v>2</v>
      </c>
    </row>
    <row r="400" spans="1:3" ht="201.6">
      <c r="A400">
        <v>2</v>
      </c>
      <c r="B400" s="23" t="s">
        <v>585</v>
      </c>
      <c r="C400" s="23">
        <v>2</v>
      </c>
    </row>
    <row r="401" spans="1:3" ht="158.4">
      <c r="A401">
        <v>2</v>
      </c>
      <c r="B401" s="23" t="s">
        <v>586</v>
      </c>
      <c r="C401" s="23">
        <v>2</v>
      </c>
    </row>
    <row r="402" spans="1:3" ht="158.4">
      <c r="A402">
        <v>2</v>
      </c>
      <c r="B402" s="23" t="s">
        <v>587</v>
      </c>
      <c r="C402" s="23">
        <v>2</v>
      </c>
    </row>
    <row r="403" spans="1:3" ht="115.2">
      <c r="A403">
        <v>2</v>
      </c>
      <c r="B403" s="23" t="s">
        <v>588</v>
      </c>
      <c r="C403" s="23">
        <v>2</v>
      </c>
    </row>
    <row r="404" spans="1:3" ht="86.4">
      <c r="A404" s="23">
        <v>3</v>
      </c>
      <c r="B404" s="23" t="s">
        <v>589</v>
      </c>
      <c r="C404" s="23">
        <v>1</v>
      </c>
    </row>
    <row r="405" spans="1:3" ht="115.2">
      <c r="A405" s="23">
        <v>3</v>
      </c>
      <c r="B405" s="23" t="s">
        <v>590</v>
      </c>
      <c r="C405" s="23">
        <v>1</v>
      </c>
    </row>
    <row r="406" spans="1:3" ht="115.2">
      <c r="A406" s="23">
        <v>3</v>
      </c>
      <c r="B406" s="23" t="s">
        <v>591</v>
      </c>
      <c r="C406" s="23">
        <v>1</v>
      </c>
    </row>
    <row r="407" spans="1:3" ht="129.6">
      <c r="A407" s="23">
        <v>3</v>
      </c>
      <c r="B407" s="23" t="s">
        <v>592</v>
      </c>
      <c r="C407" s="23">
        <v>1</v>
      </c>
    </row>
    <row r="408" spans="1:3" ht="86.4">
      <c r="A408" s="23">
        <v>3</v>
      </c>
      <c r="B408" s="23" t="s">
        <v>593</v>
      </c>
      <c r="C408" s="23">
        <v>1</v>
      </c>
    </row>
    <row r="409" spans="1:3" ht="86.4">
      <c r="A409" s="23">
        <v>3</v>
      </c>
      <c r="B409" s="23" t="s">
        <v>594</v>
      </c>
      <c r="C409" s="23">
        <v>1</v>
      </c>
    </row>
    <row r="410" spans="1:3" ht="86.4">
      <c r="A410" s="23">
        <v>3</v>
      </c>
      <c r="B410" s="23" t="s">
        <v>595</v>
      </c>
      <c r="C410" s="23">
        <v>2</v>
      </c>
    </row>
    <row r="411" spans="1:3" ht="100.8">
      <c r="A411" s="23">
        <v>3</v>
      </c>
      <c r="B411" s="23" t="s">
        <v>596</v>
      </c>
      <c r="C411" s="23">
        <v>2</v>
      </c>
    </row>
    <row r="412" spans="1:3" ht="86.4">
      <c r="A412" s="23">
        <v>3</v>
      </c>
      <c r="B412" s="23" t="s">
        <v>597</v>
      </c>
      <c r="C412" s="23">
        <v>2</v>
      </c>
    </row>
    <row r="413" spans="1:3" ht="86.4">
      <c r="A413" s="23">
        <v>3</v>
      </c>
      <c r="B413" s="23" t="s">
        <v>598</v>
      </c>
      <c r="C413" s="23">
        <v>2</v>
      </c>
    </row>
    <row r="414" spans="1:3" ht="72">
      <c r="A414" s="23">
        <v>3</v>
      </c>
      <c r="B414" s="23" t="s">
        <v>599</v>
      </c>
      <c r="C414" s="23">
        <v>2</v>
      </c>
    </row>
    <row r="415" spans="1:3" ht="72">
      <c r="A415" s="23">
        <v>3</v>
      </c>
      <c r="B415" s="23" t="s">
        <v>600</v>
      </c>
      <c r="C415" s="23">
        <v>2</v>
      </c>
    </row>
    <row r="416" spans="1:3" ht="100.8">
      <c r="A416" s="23">
        <v>3</v>
      </c>
      <c r="B416" s="23" t="s">
        <v>601</v>
      </c>
      <c r="C416" s="23">
        <v>2</v>
      </c>
    </row>
    <row r="417" spans="1:3" ht="100.8">
      <c r="A417" s="23">
        <v>3</v>
      </c>
      <c r="B417" s="23" t="s">
        <v>602</v>
      </c>
      <c r="C417" s="23">
        <v>2</v>
      </c>
    </row>
    <row r="418" spans="1:3" ht="57.6">
      <c r="A418" s="23">
        <v>3</v>
      </c>
      <c r="B418" s="23" t="s">
        <v>603</v>
      </c>
      <c r="C418" s="23">
        <v>2</v>
      </c>
    </row>
    <row r="419" spans="1:3" ht="86.4">
      <c r="A419" s="23">
        <v>3</v>
      </c>
      <c r="B419" s="23" t="s">
        <v>604</v>
      </c>
      <c r="C419" s="23">
        <v>2</v>
      </c>
    </row>
    <row r="420" spans="1:3" ht="100.8">
      <c r="A420" s="23">
        <v>3</v>
      </c>
      <c r="B420" s="23" t="s">
        <v>605</v>
      </c>
      <c r="C420" s="23">
        <v>2</v>
      </c>
    </row>
    <row r="421" spans="1:3" ht="86.4">
      <c r="A421" s="23">
        <v>3</v>
      </c>
      <c r="B421" s="23" t="s">
        <v>606</v>
      </c>
      <c r="C421" s="23">
        <v>2</v>
      </c>
    </row>
    <row r="422" spans="1:3" ht="144">
      <c r="A422">
        <v>3</v>
      </c>
      <c r="B422" s="23" t="s">
        <v>607</v>
      </c>
      <c r="C422" s="23">
        <v>2</v>
      </c>
    </row>
    <row r="423" spans="1:3" ht="115.2">
      <c r="A423">
        <v>3</v>
      </c>
      <c r="B423" s="23" t="s">
        <v>608</v>
      </c>
      <c r="C423" s="23">
        <v>3</v>
      </c>
    </row>
    <row r="424" spans="1:3" ht="86.4">
      <c r="A424">
        <v>3</v>
      </c>
      <c r="B424" s="23" t="s">
        <v>609</v>
      </c>
      <c r="C424" s="23">
        <v>3</v>
      </c>
    </row>
    <row r="425" spans="1:3" ht="72">
      <c r="A425">
        <v>3</v>
      </c>
      <c r="B425" s="23" t="s">
        <v>610</v>
      </c>
      <c r="C425" s="23">
        <v>4</v>
      </c>
    </row>
    <row r="426" spans="1:3" ht="115.2">
      <c r="A426">
        <v>3</v>
      </c>
      <c r="B426" s="23" t="s">
        <v>611</v>
      </c>
      <c r="C426" s="23">
        <v>4</v>
      </c>
    </row>
    <row r="427" spans="1:3" ht="115.2">
      <c r="A427">
        <v>3</v>
      </c>
      <c r="B427" s="23" t="s">
        <v>612</v>
      </c>
      <c r="C427" s="23">
        <v>4</v>
      </c>
    </row>
    <row r="428" spans="1:3" ht="129.6">
      <c r="A428">
        <v>4</v>
      </c>
      <c r="B428" s="23" t="s">
        <v>613</v>
      </c>
      <c r="C428" s="23">
        <v>4</v>
      </c>
    </row>
    <row r="429" spans="1:3" ht="115.2">
      <c r="A429">
        <v>4</v>
      </c>
      <c r="B429" s="23" t="s">
        <v>614</v>
      </c>
      <c r="C429" s="23">
        <v>4</v>
      </c>
    </row>
    <row r="430" spans="1:3" ht="129.6">
      <c r="A430">
        <v>3</v>
      </c>
      <c r="B430" s="23" t="s">
        <v>615</v>
      </c>
      <c r="C430" s="23">
        <v>3</v>
      </c>
    </row>
    <row r="431" spans="1:3" ht="115.2">
      <c r="A431">
        <v>3</v>
      </c>
      <c r="B431" s="23" t="s">
        <v>616</v>
      </c>
      <c r="C431" s="23">
        <v>3</v>
      </c>
    </row>
    <row r="432" spans="1:3" ht="115.2">
      <c r="A432">
        <v>3</v>
      </c>
      <c r="B432" s="23" t="s">
        <v>617</v>
      </c>
      <c r="C432" s="23">
        <v>3</v>
      </c>
    </row>
    <row r="433" spans="1:3" ht="86.4">
      <c r="A433">
        <v>3</v>
      </c>
      <c r="B433" s="23" t="s">
        <v>618</v>
      </c>
      <c r="C433" s="23">
        <v>3</v>
      </c>
    </row>
    <row r="434" spans="1:3" ht="86.4">
      <c r="A434">
        <v>3</v>
      </c>
      <c r="B434" s="23" t="s">
        <v>619</v>
      </c>
      <c r="C434" s="23">
        <v>3</v>
      </c>
    </row>
    <row r="435" spans="1:3" ht="72">
      <c r="A435">
        <v>3</v>
      </c>
      <c r="B435" s="23" t="s">
        <v>620</v>
      </c>
      <c r="C435" s="23">
        <v>3</v>
      </c>
    </row>
    <row r="436" spans="1:3" ht="115.2">
      <c r="A436">
        <v>3</v>
      </c>
      <c r="B436" s="23" t="s">
        <v>621</v>
      </c>
      <c r="C436" s="23">
        <v>3</v>
      </c>
    </row>
    <row r="437" spans="1:3" ht="72">
      <c r="A437">
        <v>3</v>
      </c>
      <c r="B437" s="23" t="s">
        <v>622</v>
      </c>
      <c r="C437" s="23">
        <v>3</v>
      </c>
    </row>
    <row r="438" spans="1:3" ht="144">
      <c r="A438">
        <v>3</v>
      </c>
      <c r="B438" s="23" t="s">
        <v>623</v>
      </c>
      <c r="C438" s="23">
        <v>3</v>
      </c>
    </row>
    <row r="439" spans="1:3" ht="72">
      <c r="A439">
        <v>3</v>
      </c>
      <c r="B439" s="23" t="s">
        <v>624</v>
      </c>
      <c r="C439" s="23">
        <v>3</v>
      </c>
    </row>
    <row r="440" spans="1:3" ht="86.4">
      <c r="A440">
        <v>3</v>
      </c>
      <c r="B440" s="23" t="s">
        <v>625</v>
      </c>
      <c r="C440" s="23">
        <v>3</v>
      </c>
    </row>
    <row r="441" spans="1:3" ht="72">
      <c r="A441">
        <v>3</v>
      </c>
      <c r="B441" s="23" t="s">
        <v>626</v>
      </c>
      <c r="C441" s="23">
        <v>3</v>
      </c>
    </row>
    <row r="442" spans="1:3" ht="129.6">
      <c r="A442">
        <v>3</v>
      </c>
      <c r="B442" s="23" t="s">
        <v>627</v>
      </c>
      <c r="C442" s="23">
        <v>4</v>
      </c>
    </row>
    <row r="443" spans="1:3" ht="100.8">
      <c r="A443">
        <v>3</v>
      </c>
      <c r="B443" s="23" t="s">
        <v>628</v>
      </c>
      <c r="C443" s="23">
        <v>4</v>
      </c>
    </row>
    <row r="444" spans="1:3" ht="115.2">
      <c r="A444">
        <v>3</v>
      </c>
      <c r="B444" s="23" t="s">
        <v>629</v>
      </c>
      <c r="C444" s="23">
        <v>4</v>
      </c>
    </row>
    <row r="445" spans="1:3" ht="57.6">
      <c r="A445">
        <v>3</v>
      </c>
      <c r="B445" s="23" t="s">
        <v>630</v>
      </c>
      <c r="C445" s="23">
        <v>4</v>
      </c>
    </row>
    <row r="446" spans="1:3" ht="57.6">
      <c r="A446">
        <v>3</v>
      </c>
      <c r="B446" s="23" t="s">
        <v>631</v>
      </c>
      <c r="C446" s="23">
        <v>4</v>
      </c>
    </row>
    <row r="447" spans="1:3" ht="129.6">
      <c r="A447">
        <v>3</v>
      </c>
      <c r="B447" s="23" t="s">
        <v>632</v>
      </c>
      <c r="C447" s="23">
        <v>4</v>
      </c>
    </row>
  </sheetData>
  <autoFilter ref="A1:C441" xr:uid="{6C7BFFC9-0AA8-4108-9A9F-1E49754EB3CA}"/>
  <dataValidations count="3">
    <dataValidation allowBlank="1" showInputMessage="1" showErrorMessage="1" sqref="A194:A206 A221:A353 A370:A397 A99:A180 A404:A421 A448:A1048576 A1:A43" xr:uid="{B8590EDB-C066-4431-9934-78D2AE9391AB}"/>
    <dataValidation type="list" showInputMessage="1" showErrorMessage="1" promptTitle="How often has this occured?" sqref="A44:A98 A181:A193 A207:A220 A354:A369" xr:uid="{D030BA9A-FC1D-4DBA-AE74-432E2065D942}">
      <formula1>"1, 2, 3, 4"</formula1>
    </dataValidation>
    <dataValidation type="list" showInputMessage="1" showErrorMessage="1" promptTitle="How often has this occured?" sqref="A398:A403 A422:A447" xr:uid="{0AF86774-699C-4ECD-B40A-70F34DBB4E6C}">
      <formula1>"1,2,3,4"</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B526F-DC44-46D0-A1CA-E5FBD56D0718}">
  <dimension ref="B2:Q16"/>
  <sheetViews>
    <sheetView workbookViewId="0">
      <selection activeCell="F4" sqref="F4"/>
    </sheetView>
  </sheetViews>
  <sheetFormatPr defaultRowHeight="14.4"/>
  <cols>
    <col min="2" max="2" width="22.5546875" bestFit="1" customWidth="1"/>
    <col min="3" max="3" width="17.33203125" customWidth="1"/>
    <col min="4" max="6" width="4.44140625" customWidth="1"/>
    <col min="7" max="7" width="7.44140625" bestFit="1" customWidth="1"/>
    <col min="8" max="8" width="11.6640625" bestFit="1" customWidth="1"/>
  </cols>
  <sheetData>
    <row r="2" spans="2:17">
      <c r="M2" t="s">
        <v>633</v>
      </c>
    </row>
    <row r="3" spans="2:17">
      <c r="B3" s="49" t="s">
        <v>634</v>
      </c>
      <c r="C3" s="49" t="s">
        <v>186</v>
      </c>
      <c r="M3" s="57"/>
      <c r="N3" s="57">
        <v>1</v>
      </c>
      <c r="O3" s="57">
        <v>2</v>
      </c>
      <c r="P3" s="57">
        <v>3</v>
      </c>
      <c r="Q3" s="57">
        <v>4</v>
      </c>
    </row>
    <row r="4" spans="2:17">
      <c r="B4" s="49" t="s">
        <v>184</v>
      </c>
      <c r="C4">
        <v>1</v>
      </c>
      <c r="D4">
        <v>2</v>
      </c>
      <c r="E4">
        <v>3</v>
      </c>
      <c r="F4">
        <v>4</v>
      </c>
      <c r="G4" t="s">
        <v>635</v>
      </c>
      <c r="H4" t="s">
        <v>636</v>
      </c>
      <c r="M4" s="58">
        <v>1</v>
      </c>
      <c r="N4">
        <v>23</v>
      </c>
      <c r="O4">
        <v>24</v>
      </c>
      <c r="P4">
        <v>22</v>
      </c>
    </row>
    <row r="5" spans="2:17">
      <c r="B5">
        <v>1</v>
      </c>
      <c r="C5">
        <v>33</v>
      </c>
      <c r="D5">
        <v>34</v>
      </c>
      <c r="E5">
        <v>29</v>
      </c>
      <c r="F5">
        <v>25</v>
      </c>
      <c r="H5">
        <v>121</v>
      </c>
      <c r="M5" s="58">
        <v>2</v>
      </c>
    </row>
    <row r="6" spans="2:17">
      <c r="B6">
        <v>2</v>
      </c>
      <c r="C6">
        <v>28</v>
      </c>
      <c r="D6">
        <v>34</v>
      </c>
      <c r="E6">
        <v>27</v>
      </c>
      <c r="F6">
        <v>25</v>
      </c>
      <c r="H6">
        <v>114</v>
      </c>
      <c r="M6" s="58">
        <v>3</v>
      </c>
      <c r="N6">
        <v>6</v>
      </c>
      <c r="O6">
        <v>12</v>
      </c>
    </row>
    <row r="7" spans="2:17">
      <c r="B7">
        <v>3</v>
      </c>
      <c r="C7">
        <v>27</v>
      </c>
      <c r="D7">
        <v>27</v>
      </c>
      <c r="E7">
        <v>26</v>
      </c>
      <c r="F7">
        <v>26</v>
      </c>
      <c r="H7">
        <v>106</v>
      </c>
      <c r="M7" s="58">
        <v>4</v>
      </c>
    </row>
    <row r="8" spans="2:17">
      <c r="B8">
        <v>4</v>
      </c>
      <c r="C8">
        <v>26</v>
      </c>
      <c r="D8">
        <v>27</v>
      </c>
      <c r="E8">
        <v>25</v>
      </c>
      <c r="F8">
        <v>27</v>
      </c>
      <c r="H8">
        <v>105</v>
      </c>
      <c r="M8" t="s">
        <v>637</v>
      </c>
    </row>
    <row r="9" spans="2:17">
      <c r="B9" t="s">
        <v>635</v>
      </c>
    </row>
    <row r="10" spans="2:17">
      <c r="B10" t="s">
        <v>636</v>
      </c>
      <c r="C10">
        <v>114</v>
      </c>
      <c r="D10">
        <v>122</v>
      </c>
      <c r="E10">
        <v>107</v>
      </c>
      <c r="F10">
        <v>103</v>
      </c>
      <c r="H10">
        <v>446</v>
      </c>
    </row>
    <row r="11" spans="2:17">
      <c r="B11" s="60" t="s">
        <v>638</v>
      </c>
      <c r="C11" s="60"/>
      <c r="D11" s="60"/>
      <c r="E11" s="60"/>
      <c r="F11" s="60"/>
      <c r="G11" s="60"/>
      <c r="H11" s="60">
        <f>SUM(H5:H8)</f>
        <v>446</v>
      </c>
      <c r="M11" t="s">
        <v>639</v>
      </c>
    </row>
    <row r="12" spans="2:17">
      <c r="M12" s="57"/>
      <c r="N12" s="57">
        <v>1</v>
      </c>
      <c r="O12" s="57">
        <v>2</v>
      </c>
      <c r="P12" s="57">
        <v>3</v>
      </c>
      <c r="Q12" s="57">
        <v>4</v>
      </c>
    </row>
    <row r="13" spans="2:17">
      <c r="M13" s="58">
        <v>1</v>
      </c>
      <c r="Q13">
        <v>19</v>
      </c>
    </row>
    <row r="14" spans="2:17">
      <c r="M14" s="58">
        <v>2</v>
      </c>
      <c r="P14">
        <v>6</v>
      </c>
      <c r="Q14">
        <v>7</v>
      </c>
    </row>
    <row r="15" spans="2:17">
      <c r="M15" s="58">
        <v>3</v>
      </c>
      <c r="P15">
        <v>8</v>
      </c>
      <c r="Q15">
        <v>5</v>
      </c>
    </row>
    <row r="16" spans="2:17">
      <c r="M16" s="58">
        <v>4</v>
      </c>
      <c r="N16">
        <v>12</v>
      </c>
      <c r="O16">
        <v>12</v>
      </c>
      <c r="P16">
        <v>4</v>
      </c>
      <c r="Q16">
        <v>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61B8C-1C75-492D-8E49-1F664ADDE1E0}">
  <dimension ref="A1:K45"/>
  <sheetViews>
    <sheetView topLeftCell="A42" workbookViewId="0">
      <selection activeCell="C44" sqref="C44"/>
    </sheetView>
  </sheetViews>
  <sheetFormatPr defaultRowHeight="14.4"/>
  <cols>
    <col min="1" max="1" width="7.5546875" customWidth="1"/>
    <col min="2" max="2" width="19" customWidth="1"/>
    <col min="3" max="3" width="13.109375" customWidth="1"/>
    <col min="4" max="4" width="62.33203125" customWidth="1"/>
    <col min="5" max="5" width="63.109375" style="23" customWidth="1"/>
    <col min="6" max="6" width="15.6640625" hidden="1" customWidth="1"/>
    <col min="7" max="7" width="12.88671875" hidden="1" customWidth="1"/>
    <col min="8" max="8" width="12.6640625" hidden="1" customWidth="1"/>
    <col min="9" max="9" width="11.88671875" style="46" hidden="1" customWidth="1"/>
    <col min="10" max="10" width="11" hidden="1" customWidth="1"/>
    <col min="11" max="11" width="11.88671875" customWidth="1"/>
  </cols>
  <sheetData>
    <row r="1" spans="1:11" ht="19.5" customHeight="1">
      <c r="A1" s="69" t="s">
        <v>0</v>
      </c>
      <c r="B1" s="69" t="s">
        <v>1</v>
      </c>
      <c r="C1" s="69" t="s">
        <v>640</v>
      </c>
      <c r="D1" s="70" t="s">
        <v>2</v>
      </c>
      <c r="E1" s="70" t="s">
        <v>3</v>
      </c>
      <c r="F1" s="69" t="s">
        <v>641</v>
      </c>
      <c r="G1" s="69"/>
      <c r="H1" s="69"/>
      <c r="I1" s="69"/>
      <c r="J1" s="72"/>
      <c r="K1" s="71" t="s">
        <v>642</v>
      </c>
    </row>
    <row r="2" spans="1:11" ht="19.5" customHeight="1">
      <c r="A2" s="69"/>
      <c r="B2" s="69"/>
      <c r="C2" s="69"/>
      <c r="D2" s="70"/>
      <c r="E2" s="70"/>
      <c r="F2" s="13" t="s">
        <v>643</v>
      </c>
      <c r="G2" s="13" t="s">
        <v>644</v>
      </c>
      <c r="H2" s="13" t="s">
        <v>645</v>
      </c>
      <c r="I2" s="43" t="s">
        <v>646</v>
      </c>
      <c r="J2" s="13" t="s">
        <v>647</v>
      </c>
      <c r="K2" s="71"/>
    </row>
    <row r="3" spans="1:11" ht="132" customHeight="1">
      <c r="A3" s="2">
        <v>21</v>
      </c>
      <c r="B3" s="2" t="s">
        <v>143</v>
      </c>
      <c r="C3" s="2">
        <v>4</v>
      </c>
      <c r="D3" s="15" t="s">
        <v>43</v>
      </c>
      <c r="E3" s="3" t="s">
        <v>187</v>
      </c>
      <c r="F3" s="2">
        <v>1</v>
      </c>
      <c r="G3" s="2">
        <v>1</v>
      </c>
      <c r="H3" s="2">
        <v>1</v>
      </c>
      <c r="I3" s="44">
        <v>1</v>
      </c>
      <c r="J3" s="2">
        <v>1</v>
      </c>
      <c r="K3">
        <f>_xlfn.MODE.SNGL(F3:J3)</f>
        <v>1</v>
      </c>
    </row>
    <row r="4" spans="1:11" ht="117.75" customHeight="1">
      <c r="A4" s="2">
        <v>21</v>
      </c>
      <c r="B4" s="2" t="s">
        <v>143</v>
      </c>
      <c r="C4" s="2">
        <v>4</v>
      </c>
      <c r="D4" s="15" t="s">
        <v>43</v>
      </c>
      <c r="E4" s="3" t="s">
        <v>188</v>
      </c>
      <c r="F4" s="2">
        <v>1</v>
      </c>
      <c r="G4" s="2">
        <v>1</v>
      </c>
      <c r="H4" s="2">
        <v>1</v>
      </c>
      <c r="I4" s="44">
        <v>1</v>
      </c>
      <c r="J4" s="2">
        <v>1</v>
      </c>
      <c r="K4">
        <f>_xlfn.MODE.SNGL(F4:J4)</f>
        <v>1</v>
      </c>
    </row>
    <row r="5" spans="1:11" ht="194.25" customHeight="1">
      <c r="A5" s="2">
        <v>22</v>
      </c>
      <c r="B5" s="2" t="s">
        <v>143</v>
      </c>
      <c r="C5" s="2">
        <v>4</v>
      </c>
      <c r="D5" s="15" t="s">
        <v>46</v>
      </c>
      <c r="E5" s="3" t="s">
        <v>189</v>
      </c>
      <c r="F5" s="2">
        <v>4</v>
      </c>
      <c r="G5" s="2">
        <v>3</v>
      </c>
      <c r="H5" s="2">
        <v>4</v>
      </c>
      <c r="I5" s="44">
        <v>4</v>
      </c>
      <c r="J5" s="2">
        <v>4</v>
      </c>
      <c r="K5">
        <f>_xlfn.MODE.SNGL(F5:J5)</f>
        <v>4</v>
      </c>
    </row>
    <row r="6" spans="1:11" ht="179.4">
      <c r="A6" s="2">
        <v>22</v>
      </c>
      <c r="B6" s="2" t="s">
        <v>143</v>
      </c>
      <c r="C6" s="2">
        <v>4</v>
      </c>
      <c r="D6" s="15" t="s">
        <v>46</v>
      </c>
      <c r="E6" s="3" t="s">
        <v>190</v>
      </c>
      <c r="F6" s="2">
        <v>4</v>
      </c>
      <c r="G6" s="2">
        <v>3</v>
      </c>
      <c r="H6" s="2">
        <v>4</v>
      </c>
      <c r="I6" s="44">
        <v>4</v>
      </c>
      <c r="J6" s="2">
        <v>4</v>
      </c>
      <c r="K6">
        <f t="shared" ref="K6:K44" si="0">_xlfn.MODE.SNGL(F6:J6)</f>
        <v>4</v>
      </c>
    </row>
    <row r="7" spans="1:11" ht="110.4">
      <c r="A7" s="2">
        <v>23</v>
      </c>
      <c r="B7" s="2" t="s">
        <v>129</v>
      </c>
      <c r="C7" s="2">
        <v>3</v>
      </c>
      <c r="D7" s="15" t="s">
        <v>49</v>
      </c>
      <c r="E7" s="3" t="s">
        <v>191</v>
      </c>
      <c r="F7" s="2">
        <v>4</v>
      </c>
      <c r="G7" s="2">
        <v>4</v>
      </c>
      <c r="H7" s="2">
        <v>4</v>
      </c>
      <c r="I7" s="45">
        <v>4</v>
      </c>
      <c r="J7" s="2">
        <v>4</v>
      </c>
      <c r="K7">
        <f t="shared" si="0"/>
        <v>4</v>
      </c>
    </row>
    <row r="8" spans="1:11" ht="110.4">
      <c r="A8" s="2">
        <v>23</v>
      </c>
      <c r="B8" s="2" t="s">
        <v>129</v>
      </c>
      <c r="C8" s="2">
        <v>3</v>
      </c>
      <c r="D8" s="15" t="s">
        <v>49</v>
      </c>
      <c r="E8" s="3" t="s">
        <v>192</v>
      </c>
      <c r="F8" s="2">
        <v>4</v>
      </c>
      <c r="G8" s="2">
        <v>4</v>
      </c>
      <c r="H8" s="2">
        <v>4</v>
      </c>
      <c r="I8" s="45">
        <v>4</v>
      </c>
      <c r="J8" s="2">
        <v>4</v>
      </c>
      <c r="K8">
        <f t="shared" si="0"/>
        <v>4</v>
      </c>
    </row>
    <row r="9" spans="1:11" ht="110.4">
      <c r="A9" s="2">
        <v>23</v>
      </c>
      <c r="B9" s="2" t="s">
        <v>129</v>
      </c>
      <c r="C9" s="2">
        <v>3</v>
      </c>
      <c r="D9" s="15" t="s">
        <v>49</v>
      </c>
      <c r="E9" s="3" t="s">
        <v>193</v>
      </c>
      <c r="F9" s="2">
        <v>4</v>
      </c>
      <c r="G9" s="2">
        <v>3</v>
      </c>
      <c r="H9" s="2">
        <v>4</v>
      </c>
      <c r="I9" s="45">
        <v>4</v>
      </c>
      <c r="J9" s="2">
        <v>4</v>
      </c>
      <c r="K9">
        <f t="shared" si="0"/>
        <v>4</v>
      </c>
    </row>
    <row r="10" spans="1:11" ht="124.2">
      <c r="A10" s="2">
        <v>81</v>
      </c>
      <c r="B10" s="2" t="s">
        <v>129</v>
      </c>
      <c r="C10" s="2">
        <v>3</v>
      </c>
      <c r="D10" s="15" t="s">
        <v>150</v>
      </c>
      <c r="E10" s="3" t="s">
        <v>194</v>
      </c>
      <c r="F10" s="2">
        <v>3</v>
      </c>
      <c r="G10" s="2">
        <v>3</v>
      </c>
      <c r="H10" s="2">
        <v>3</v>
      </c>
      <c r="I10" s="41" t="s">
        <v>648</v>
      </c>
      <c r="J10" s="2">
        <v>3</v>
      </c>
      <c r="K10">
        <f t="shared" si="0"/>
        <v>3</v>
      </c>
    </row>
    <row r="11" spans="1:11" ht="124.2">
      <c r="A11" s="2">
        <v>81</v>
      </c>
      <c r="B11" s="2" t="s">
        <v>129</v>
      </c>
      <c r="C11" s="2">
        <v>3</v>
      </c>
      <c r="D11" s="15" t="s">
        <v>150</v>
      </c>
      <c r="E11" s="3" t="s">
        <v>195</v>
      </c>
      <c r="F11" s="2">
        <v>3</v>
      </c>
      <c r="G11" s="2">
        <v>3</v>
      </c>
      <c r="H11" s="2">
        <v>3</v>
      </c>
      <c r="I11" s="41" t="s">
        <v>648</v>
      </c>
      <c r="J11" s="2">
        <v>3</v>
      </c>
      <c r="K11">
        <f t="shared" si="0"/>
        <v>3</v>
      </c>
    </row>
    <row r="12" spans="1:11" ht="124.2">
      <c r="A12" s="2">
        <v>82</v>
      </c>
      <c r="B12" s="2" t="s">
        <v>143</v>
      </c>
      <c r="C12" s="2">
        <v>4</v>
      </c>
      <c r="D12" s="15" t="s">
        <v>151</v>
      </c>
      <c r="E12" s="3" t="s">
        <v>196</v>
      </c>
      <c r="F12" s="2">
        <v>3</v>
      </c>
      <c r="G12" s="2">
        <v>3</v>
      </c>
      <c r="H12" s="2">
        <v>3</v>
      </c>
      <c r="I12" s="45">
        <v>3</v>
      </c>
      <c r="J12" s="2">
        <v>3</v>
      </c>
      <c r="K12">
        <f t="shared" si="0"/>
        <v>3</v>
      </c>
    </row>
    <row r="13" spans="1:11" ht="124.2">
      <c r="A13" s="2">
        <v>82</v>
      </c>
      <c r="B13" s="2" t="s">
        <v>143</v>
      </c>
      <c r="C13" s="2">
        <v>4</v>
      </c>
      <c r="D13" s="15" t="s">
        <v>151</v>
      </c>
      <c r="E13" s="42" t="s">
        <v>197</v>
      </c>
      <c r="F13" s="2">
        <v>2</v>
      </c>
      <c r="G13" s="2">
        <v>2</v>
      </c>
      <c r="H13" s="2">
        <v>1</v>
      </c>
      <c r="I13" s="45">
        <v>2</v>
      </c>
      <c r="J13" s="2">
        <v>1</v>
      </c>
      <c r="K13">
        <f t="shared" si="0"/>
        <v>2</v>
      </c>
    </row>
    <row r="14" spans="1:11" ht="124.2">
      <c r="A14" s="2">
        <v>24</v>
      </c>
      <c r="B14" s="2" t="s">
        <v>143</v>
      </c>
      <c r="C14" s="2">
        <v>4</v>
      </c>
      <c r="D14" s="15" t="s">
        <v>53</v>
      </c>
      <c r="E14" s="3" t="s">
        <v>198</v>
      </c>
      <c r="F14" s="2">
        <v>3</v>
      </c>
      <c r="G14" s="2">
        <v>3</v>
      </c>
      <c r="H14" s="2">
        <v>3</v>
      </c>
      <c r="I14" s="44">
        <v>4</v>
      </c>
      <c r="J14" s="2">
        <v>3</v>
      </c>
      <c r="K14">
        <f t="shared" si="0"/>
        <v>3</v>
      </c>
    </row>
    <row r="15" spans="1:11" ht="124.2">
      <c r="A15" s="2">
        <v>24</v>
      </c>
      <c r="B15" s="2" t="s">
        <v>143</v>
      </c>
      <c r="C15" s="2">
        <v>4</v>
      </c>
      <c r="D15" s="15" t="s">
        <v>53</v>
      </c>
      <c r="E15" s="3" t="s">
        <v>199</v>
      </c>
      <c r="F15" s="2">
        <v>3</v>
      </c>
      <c r="G15" s="2">
        <v>3</v>
      </c>
      <c r="H15" s="2">
        <v>3</v>
      </c>
      <c r="I15" s="44">
        <v>4</v>
      </c>
      <c r="J15" s="2">
        <v>3</v>
      </c>
      <c r="K15">
        <f t="shared" si="0"/>
        <v>3</v>
      </c>
    </row>
    <row r="16" spans="1:11" ht="57.6">
      <c r="A16" s="2">
        <v>25</v>
      </c>
      <c r="B16" s="2" t="s">
        <v>143</v>
      </c>
      <c r="C16" s="2">
        <v>4</v>
      </c>
      <c r="D16" s="15" t="s">
        <v>55</v>
      </c>
      <c r="E16" s="3" t="s">
        <v>200</v>
      </c>
      <c r="F16" s="2">
        <v>2</v>
      </c>
      <c r="G16" s="2">
        <v>2</v>
      </c>
      <c r="H16" s="2">
        <v>2</v>
      </c>
      <c r="I16" s="44">
        <v>2</v>
      </c>
      <c r="J16" s="2">
        <v>2</v>
      </c>
      <c r="K16">
        <f t="shared" si="0"/>
        <v>2</v>
      </c>
    </row>
    <row r="17" spans="1:11" ht="57.6">
      <c r="A17" s="2">
        <v>25</v>
      </c>
      <c r="B17" s="2" t="s">
        <v>143</v>
      </c>
      <c r="C17" s="2">
        <v>4</v>
      </c>
      <c r="D17" s="15" t="s">
        <v>55</v>
      </c>
      <c r="E17" s="3" t="s">
        <v>201</v>
      </c>
      <c r="F17" s="2">
        <v>2</v>
      </c>
      <c r="G17" s="2">
        <v>2</v>
      </c>
      <c r="H17" s="2">
        <v>2</v>
      </c>
      <c r="I17" s="44">
        <v>2</v>
      </c>
      <c r="J17" s="2">
        <v>2</v>
      </c>
      <c r="K17">
        <f t="shared" si="0"/>
        <v>2</v>
      </c>
    </row>
    <row r="18" spans="1:11" ht="138">
      <c r="A18" s="2">
        <v>26</v>
      </c>
      <c r="B18" s="2" t="s">
        <v>129</v>
      </c>
      <c r="C18" s="2">
        <v>3</v>
      </c>
      <c r="D18" s="15" t="s">
        <v>58</v>
      </c>
      <c r="E18" s="3" t="s">
        <v>202</v>
      </c>
      <c r="F18" s="2">
        <v>3</v>
      </c>
      <c r="G18" s="2">
        <v>3</v>
      </c>
      <c r="H18" s="2">
        <v>3</v>
      </c>
      <c r="I18" s="44">
        <v>3</v>
      </c>
      <c r="J18" s="2">
        <v>3</v>
      </c>
      <c r="K18">
        <f t="shared" si="0"/>
        <v>3</v>
      </c>
    </row>
    <row r="19" spans="1:11" ht="138">
      <c r="A19" s="2">
        <v>26</v>
      </c>
      <c r="B19" s="2" t="s">
        <v>129</v>
      </c>
      <c r="C19" s="2">
        <v>3</v>
      </c>
      <c r="D19" s="15" t="s">
        <v>58</v>
      </c>
      <c r="E19" s="3" t="s">
        <v>203</v>
      </c>
      <c r="F19" s="2">
        <v>3</v>
      </c>
      <c r="G19" s="2">
        <v>3</v>
      </c>
      <c r="H19" s="2">
        <v>3</v>
      </c>
      <c r="I19" s="44">
        <v>3</v>
      </c>
      <c r="J19" s="2">
        <v>3</v>
      </c>
      <c r="K19">
        <f t="shared" si="0"/>
        <v>3</v>
      </c>
    </row>
    <row r="20" spans="1:11" ht="96.6">
      <c r="A20" s="2">
        <v>27</v>
      </c>
      <c r="B20" s="2" t="s">
        <v>129</v>
      </c>
      <c r="C20" s="2">
        <v>3</v>
      </c>
      <c r="D20" s="15" t="s">
        <v>60</v>
      </c>
      <c r="E20" s="3" t="s">
        <v>204</v>
      </c>
      <c r="F20" s="2">
        <v>1</v>
      </c>
      <c r="G20" s="2">
        <v>2</v>
      </c>
      <c r="H20" s="2">
        <v>1</v>
      </c>
      <c r="I20" s="44">
        <v>1</v>
      </c>
      <c r="J20" s="2">
        <v>1</v>
      </c>
      <c r="K20">
        <f t="shared" si="0"/>
        <v>1</v>
      </c>
    </row>
    <row r="21" spans="1:11" ht="96.6">
      <c r="A21" s="2">
        <v>27</v>
      </c>
      <c r="B21" s="2" t="s">
        <v>129</v>
      </c>
      <c r="C21" s="2">
        <v>3</v>
      </c>
      <c r="D21" s="15" t="s">
        <v>60</v>
      </c>
      <c r="E21" s="3" t="s">
        <v>205</v>
      </c>
      <c r="F21" s="2">
        <v>1</v>
      </c>
      <c r="G21" s="2">
        <v>2</v>
      </c>
      <c r="H21" s="2">
        <v>1</v>
      </c>
      <c r="I21" s="44">
        <v>1</v>
      </c>
      <c r="J21" s="2">
        <v>1</v>
      </c>
      <c r="K21">
        <f t="shared" si="0"/>
        <v>1</v>
      </c>
    </row>
    <row r="22" spans="1:11" ht="96.6">
      <c r="A22" s="2">
        <v>28</v>
      </c>
      <c r="B22" s="2" t="s">
        <v>129</v>
      </c>
      <c r="C22" s="2">
        <v>3</v>
      </c>
      <c r="D22" s="15" t="s">
        <v>62</v>
      </c>
      <c r="E22" s="42" t="s">
        <v>206</v>
      </c>
      <c r="F22" s="3">
        <v>1</v>
      </c>
      <c r="G22" s="2">
        <v>2</v>
      </c>
      <c r="H22" s="3">
        <v>1</v>
      </c>
      <c r="I22" s="44">
        <v>1</v>
      </c>
      <c r="J22" s="2">
        <v>1</v>
      </c>
      <c r="K22">
        <f t="shared" si="0"/>
        <v>1</v>
      </c>
    </row>
    <row r="23" spans="1:11" ht="96.6">
      <c r="A23" s="2">
        <v>28</v>
      </c>
      <c r="B23" s="2" t="s">
        <v>129</v>
      </c>
      <c r="C23" s="2">
        <v>3</v>
      </c>
      <c r="D23" s="15" t="s">
        <v>62</v>
      </c>
      <c r="E23" s="3" t="s">
        <v>207</v>
      </c>
      <c r="F23" s="2">
        <v>1</v>
      </c>
      <c r="G23" s="2">
        <v>2</v>
      </c>
      <c r="H23" s="2">
        <v>1</v>
      </c>
      <c r="I23" s="44">
        <v>1</v>
      </c>
      <c r="J23" s="2">
        <v>1</v>
      </c>
      <c r="K23">
        <f t="shared" si="0"/>
        <v>1</v>
      </c>
    </row>
    <row r="24" spans="1:11" ht="165.6">
      <c r="A24" s="2">
        <v>29</v>
      </c>
      <c r="B24" s="2" t="s">
        <v>143</v>
      </c>
      <c r="C24" s="2">
        <v>4</v>
      </c>
      <c r="D24" s="15" t="s">
        <v>64</v>
      </c>
      <c r="E24" s="3" t="s">
        <v>208</v>
      </c>
      <c r="F24" s="2">
        <v>3</v>
      </c>
      <c r="G24" s="2">
        <v>3</v>
      </c>
      <c r="H24" s="2">
        <v>3</v>
      </c>
      <c r="I24" s="44">
        <v>3</v>
      </c>
      <c r="J24" s="2">
        <v>3</v>
      </c>
      <c r="K24">
        <f t="shared" si="0"/>
        <v>3</v>
      </c>
    </row>
    <row r="25" spans="1:11" ht="165.6">
      <c r="A25" s="2">
        <v>29</v>
      </c>
      <c r="B25" s="2" t="s">
        <v>143</v>
      </c>
      <c r="C25" s="2">
        <v>4</v>
      </c>
      <c r="D25" s="15" t="s">
        <v>64</v>
      </c>
      <c r="E25" s="3" t="s">
        <v>209</v>
      </c>
      <c r="F25" s="2">
        <v>3</v>
      </c>
      <c r="G25" s="2">
        <v>3</v>
      </c>
      <c r="H25" s="2">
        <v>3</v>
      </c>
      <c r="I25" s="44">
        <v>3</v>
      </c>
      <c r="J25" s="2">
        <v>3</v>
      </c>
      <c r="K25">
        <f t="shared" si="0"/>
        <v>3</v>
      </c>
    </row>
    <row r="26" spans="1:11" ht="165.6">
      <c r="A26" s="2">
        <v>29</v>
      </c>
      <c r="B26" s="2" t="s">
        <v>131</v>
      </c>
      <c r="C26" s="2">
        <v>1</v>
      </c>
      <c r="D26" s="15" t="s">
        <v>64</v>
      </c>
      <c r="E26" s="3" t="s">
        <v>210</v>
      </c>
      <c r="F26" s="2">
        <v>3</v>
      </c>
      <c r="G26" s="2">
        <v>3</v>
      </c>
      <c r="H26" s="2">
        <v>3</v>
      </c>
      <c r="I26" s="44">
        <v>3</v>
      </c>
      <c r="J26" s="2">
        <v>3</v>
      </c>
      <c r="K26">
        <f t="shared" si="0"/>
        <v>3</v>
      </c>
    </row>
    <row r="27" spans="1:11" ht="57.6">
      <c r="A27" s="2">
        <v>30</v>
      </c>
      <c r="B27" s="2" t="s">
        <v>129</v>
      </c>
      <c r="C27" s="2">
        <v>3</v>
      </c>
      <c r="D27" s="15" t="s">
        <v>67</v>
      </c>
      <c r="E27" s="3" t="s">
        <v>211</v>
      </c>
      <c r="F27" s="2">
        <v>2</v>
      </c>
      <c r="G27" s="2">
        <v>1</v>
      </c>
      <c r="H27" s="2">
        <v>2</v>
      </c>
      <c r="I27" s="44">
        <v>2</v>
      </c>
      <c r="J27" s="2">
        <v>2</v>
      </c>
      <c r="K27">
        <f t="shared" si="0"/>
        <v>2</v>
      </c>
    </row>
    <row r="28" spans="1:11" ht="55.2">
      <c r="A28" s="2">
        <v>30</v>
      </c>
      <c r="B28" s="2" t="s">
        <v>129</v>
      </c>
      <c r="C28" s="2">
        <v>3</v>
      </c>
      <c r="D28" s="15" t="s">
        <v>67</v>
      </c>
      <c r="E28" s="3" t="s">
        <v>212</v>
      </c>
      <c r="F28" s="2">
        <v>2</v>
      </c>
      <c r="G28" s="2">
        <v>1</v>
      </c>
      <c r="H28" s="2">
        <v>2</v>
      </c>
      <c r="I28" s="44">
        <v>2</v>
      </c>
      <c r="J28" s="2">
        <v>2</v>
      </c>
      <c r="K28">
        <f t="shared" si="0"/>
        <v>2</v>
      </c>
    </row>
    <row r="29" spans="1:11" ht="69">
      <c r="A29" s="2">
        <v>31</v>
      </c>
      <c r="B29" s="2" t="s">
        <v>143</v>
      </c>
      <c r="C29" s="2">
        <v>4</v>
      </c>
      <c r="D29" s="15" t="s">
        <v>68</v>
      </c>
      <c r="E29" s="3" t="s">
        <v>213</v>
      </c>
      <c r="F29" s="2">
        <v>2</v>
      </c>
      <c r="G29" s="2">
        <v>1</v>
      </c>
      <c r="H29" s="2">
        <v>2</v>
      </c>
      <c r="I29" s="44">
        <v>2</v>
      </c>
      <c r="J29" s="2">
        <v>2</v>
      </c>
      <c r="K29">
        <f t="shared" si="0"/>
        <v>2</v>
      </c>
    </row>
    <row r="30" spans="1:11" ht="69">
      <c r="A30" s="2">
        <v>31</v>
      </c>
      <c r="B30" s="2" t="s">
        <v>143</v>
      </c>
      <c r="C30" s="2">
        <v>4</v>
      </c>
      <c r="D30" s="15" t="s">
        <v>68</v>
      </c>
      <c r="E30" s="3" t="s">
        <v>214</v>
      </c>
      <c r="F30" s="2">
        <v>2</v>
      </c>
      <c r="G30" s="2">
        <v>1</v>
      </c>
      <c r="H30" s="2">
        <v>2</v>
      </c>
      <c r="I30" s="44">
        <v>2</v>
      </c>
      <c r="J30" s="2">
        <v>2</v>
      </c>
      <c r="K30">
        <f t="shared" si="0"/>
        <v>2</v>
      </c>
    </row>
    <row r="31" spans="1:11" ht="100.8">
      <c r="A31" s="2">
        <v>32</v>
      </c>
      <c r="B31" s="2" t="s">
        <v>143</v>
      </c>
      <c r="C31" s="2">
        <v>4</v>
      </c>
      <c r="D31" s="18" t="s">
        <v>69</v>
      </c>
      <c r="E31" s="3" t="s">
        <v>215</v>
      </c>
      <c r="F31" s="2">
        <v>2</v>
      </c>
      <c r="G31" s="2">
        <v>1</v>
      </c>
      <c r="H31" s="2">
        <v>2</v>
      </c>
      <c r="I31" s="44">
        <v>2</v>
      </c>
      <c r="J31" s="2">
        <v>2</v>
      </c>
      <c r="K31">
        <f t="shared" si="0"/>
        <v>2</v>
      </c>
    </row>
    <row r="32" spans="1:11" ht="100.8">
      <c r="A32" s="2">
        <v>32</v>
      </c>
      <c r="B32" s="2" t="s">
        <v>143</v>
      </c>
      <c r="C32" s="2">
        <v>4</v>
      </c>
      <c r="D32" s="18" t="s">
        <v>69</v>
      </c>
      <c r="E32" s="3" t="s">
        <v>216</v>
      </c>
      <c r="F32" s="2">
        <v>2</v>
      </c>
      <c r="G32" s="2">
        <v>1</v>
      </c>
      <c r="H32" s="2">
        <v>2</v>
      </c>
      <c r="I32" s="44">
        <v>2</v>
      </c>
      <c r="J32" s="2">
        <v>2</v>
      </c>
      <c r="K32">
        <f t="shared" si="0"/>
        <v>2</v>
      </c>
    </row>
    <row r="33" spans="1:11" ht="57.6">
      <c r="A33" s="2">
        <v>83</v>
      </c>
      <c r="B33" s="24" t="s">
        <v>129</v>
      </c>
      <c r="C33" s="24">
        <v>3</v>
      </c>
      <c r="D33" s="18" t="s">
        <v>152</v>
      </c>
      <c r="E33" s="3" t="s">
        <v>217</v>
      </c>
      <c r="F33" s="2">
        <v>3</v>
      </c>
      <c r="G33" s="2">
        <v>3</v>
      </c>
      <c r="H33" s="2">
        <v>3</v>
      </c>
      <c r="I33" s="44">
        <v>3</v>
      </c>
      <c r="J33" s="2">
        <v>3</v>
      </c>
      <c r="K33">
        <f t="shared" si="0"/>
        <v>3</v>
      </c>
    </row>
    <row r="34" spans="1:11" ht="57.6">
      <c r="A34" s="2">
        <v>83</v>
      </c>
      <c r="B34" s="24" t="s">
        <v>129</v>
      </c>
      <c r="C34" s="24">
        <v>3</v>
      </c>
      <c r="D34" s="18" t="s">
        <v>152</v>
      </c>
      <c r="E34" s="3" t="s">
        <v>218</v>
      </c>
      <c r="F34" s="2">
        <v>3</v>
      </c>
      <c r="G34" s="2">
        <v>3</v>
      </c>
      <c r="H34" s="2">
        <v>3</v>
      </c>
      <c r="I34" s="44">
        <v>3</v>
      </c>
      <c r="J34" s="2">
        <v>3</v>
      </c>
      <c r="K34">
        <f t="shared" si="0"/>
        <v>3</v>
      </c>
    </row>
    <row r="35" spans="1:11" ht="86.4">
      <c r="A35" s="2">
        <v>84</v>
      </c>
      <c r="B35" s="24" t="s">
        <v>143</v>
      </c>
      <c r="C35" s="24">
        <v>4</v>
      </c>
      <c r="D35" s="18" t="s">
        <v>153</v>
      </c>
      <c r="E35" s="3" t="s">
        <v>219</v>
      </c>
      <c r="F35" s="2">
        <v>2</v>
      </c>
      <c r="G35" s="2">
        <v>2</v>
      </c>
      <c r="H35" s="2">
        <v>2</v>
      </c>
      <c r="I35" s="44">
        <v>2</v>
      </c>
      <c r="J35" s="2">
        <v>2</v>
      </c>
      <c r="K35">
        <f t="shared" si="0"/>
        <v>2</v>
      </c>
    </row>
    <row r="36" spans="1:11" ht="72">
      <c r="A36" s="2">
        <v>84</v>
      </c>
      <c r="B36" s="24" t="s">
        <v>143</v>
      </c>
      <c r="C36" s="24">
        <v>4</v>
      </c>
      <c r="D36" s="18" t="s">
        <v>153</v>
      </c>
      <c r="E36" s="3" t="s">
        <v>220</v>
      </c>
      <c r="F36" s="2">
        <v>2</v>
      </c>
      <c r="G36" s="2">
        <v>2</v>
      </c>
      <c r="H36" s="2">
        <v>2</v>
      </c>
      <c r="I36" s="44">
        <v>2</v>
      </c>
      <c r="J36" s="2">
        <v>2</v>
      </c>
      <c r="K36">
        <f t="shared" si="0"/>
        <v>2</v>
      </c>
    </row>
    <row r="37" spans="1:11" ht="72">
      <c r="A37" s="2">
        <v>84</v>
      </c>
      <c r="B37" s="24" t="s">
        <v>143</v>
      </c>
      <c r="C37" s="24">
        <v>4</v>
      </c>
      <c r="D37" s="18" t="s">
        <v>153</v>
      </c>
      <c r="E37" s="3" t="s">
        <v>221</v>
      </c>
      <c r="F37" s="2">
        <v>1</v>
      </c>
      <c r="G37" s="2">
        <v>1</v>
      </c>
      <c r="H37" s="2">
        <v>1</v>
      </c>
      <c r="I37" s="44">
        <v>2</v>
      </c>
      <c r="J37" s="2">
        <v>1</v>
      </c>
      <c r="K37">
        <f t="shared" si="0"/>
        <v>1</v>
      </c>
    </row>
    <row r="38" spans="1:11" ht="43.2">
      <c r="A38" s="2">
        <v>85</v>
      </c>
      <c r="B38" s="24" t="s">
        <v>131</v>
      </c>
      <c r="C38" s="24">
        <v>1</v>
      </c>
      <c r="D38" s="18" t="s">
        <v>154</v>
      </c>
      <c r="E38" s="3" t="s">
        <v>222</v>
      </c>
      <c r="F38" s="2">
        <v>3</v>
      </c>
      <c r="G38" s="2">
        <v>2</v>
      </c>
      <c r="H38" s="2">
        <v>3</v>
      </c>
      <c r="I38" s="44">
        <v>3</v>
      </c>
      <c r="J38" s="2">
        <v>3</v>
      </c>
      <c r="K38">
        <f t="shared" si="0"/>
        <v>3</v>
      </c>
    </row>
    <row r="39" spans="1:11" ht="43.2">
      <c r="A39" s="2">
        <v>85</v>
      </c>
      <c r="B39" s="24" t="s">
        <v>131</v>
      </c>
      <c r="C39" s="24">
        <v>1</v>
      </c>
      <c r="D39" s="18" t="s">
        <v>154</v>
      </c>
      <c r="E39" s="3" t="s">
        <v>223</v>
      </c>
      <c r="F39" s="2">
        <v>3</v>
      </c>
      <c r="G39" s="2">
        <v>2</v>
      </c>
      <c r="H39" s="2">
        <v>3</v>
      </c>
      <c r="I39" s="44">
        <v>3</v>
      </c>
      <c r="J39" s="2">
        <v>3</v>
      </c>
      <c r="K39">
        <f t="shared" si="0"/>
        <v>3</v>
      </c>
    </row>
    <row r="40" spans="1:11" ht="129.6">
      <c r="A40" s="2">
        <v>86</v>
      </c>
      <c r="B40" s="24" t="s">
        <v>129</v>
      </c>
      <c r="C40" s="24">
        <v>4</v>
      </c>
      <c r="D40" s="18" t="s">
        <v>156</v>
      </c>
      <c r="E40" s="3" t="s">
        <v>224</v>
      </c>
      <c r="F40" s="2">
        <v>3</v>
      </c>
      <c r="G40" s="2">
        <v>3</v>
      </c>
      <c r="H40" s="2">
        <v>3</v>
      </c>
      <c r="I40" s="44">
        <v>3</v>
      </c>
      <c r="J40" s="2">
        <v>3</v>
      </c>
      <c r="K40">
        <f t="shared" si="0"/>
        <v>3</v>
      </c>
    </row>
    <row r="41" spans="1:11" ht="129.6">
      <c r="A41" s="2">
        <v>86</v>
      </c>
      <c r="B41" s="24" t="s">
        <v>129</v>
      </c>
      <c r="C41" s="24">
        <v>4</v>
      </c>
      <c r="D41" s="18" t="s">
        <v>156</v>
      </c>
      <c r="E41" s="3" t="s">
        <v>225</v>
      </c>
      <c r="F41" s="2">
        <v>3</v>
      </c>
      <c r="G41" s="2">
        <v>2</v>
      </c>
      <c r="H41" s="2">
        <v>3</v>
      </c>
      <c r="I41" s="44">
        <v>3</v>
      </c>
      <c r="J41" s="2">
        <v>3</v>
      </c>
      <c r="K41">
        <f t="shared" si="0"/>
        <v>3</v>
      </c>
    </row>
    <row r="42" spans="1:11" ht="144">
      <c r="A42" s="2">
        <v>101</v>
      </c>
      <c r="B42" s="2" t="s">
        <v>131</v>
      </c>
      <c r="C42" s="2">
        <v>1</v>
      </c>
      <c r="D42" s="21" t="s">
        <v>182</v>
      </c>
      <c r="E42" s="3" t="s">
        <v>226</v>
      </c>
      <c r="F42" s="2">
        <v>1</v>
      </c>
      <c r="G42" s="2">
        <v>1</v>
      </c>
      <c r="H42" s="2">
        <v>2</v>
      </c>
      <c r="I42" s="44">
        <v>2</v>
      </c>
      <c r="J42" s="2">
        <v>1</v>
      </c>
      <c r="K42">
        <f t="shared" si="0"/>
        <v>1</v>
      </c>
    </row>
    <row r="43" spans="1:11" ht="43.2">
      <c r="A43" s="2">
        <v>102</v>
      </c>
      <c r="B43" s="24" t="s">
        <v>125</v>
      </c>
      <c r="C43" s="24">
        <v>3</v>
      </c>
      <c r="D43" s="21" t="s">
        <v>183</v>
      </c>
      <c r="E43" s="3" t="s">
        <v>227</v>
      </c>
      <c r="F43" s="2">
        <v>1</v>
      </c>
      <c r="G43" s="2">
        <v>1</v>
      </c>
      <c r="H43" s="2">
        <v>1</v>
      </c>
      <c r="I43" s="44">
        <v>1</v>
      </c>
      <c r="J43" s="2">
        <v>1</v>
      </c>
      <c r="K43">
        <f t="shared" si="0"/>
        <v>1</v>
      </c>
    </row>
    <row r="44" spans="1:11" ht="43.2">
      <c r="A44" s="2">
        <v>102</v>
      </c>
      <c r="B44" s="24" t="s">
        <v>125</v>
      </c>
      <c r="C44" s="24">
        <v>3</v>
      </c>
      <c r="D44" s="21" t="s">
        <v>183</v>
      </c>
      <c r="E44" s="3" t="s">
        <v>228</v>
      </c>
      <c r="F44" s="2">
        <v>1</v>
      </c>
      <c r="G44" s="2">
        <v>1</v>
      </c>
      <c r="H44" s="2">
        <v>1</v>
      </c>
      <c r="I44" s="44">
        <v>1</v>
      </c>
      <c r="J44" s="2">
        <v>1</v>
      </c>
      <c r="K44">
        <f t="shared" si="0"/>
        <v>1</v>
      </c>
    </row>
    <row r="45" spans="1:11">
      <c r="B45" s="35"/>
      <c r="C45" s="33"/>
    </row>
  </sheetData>
  <mergeCells count="7">
    <mergeCell ref="K1:K2"/>
    <mergeCell ref="F1:J1"/>
    <mergeCell ref="A1:A2"/>
    <mergeCell ref="B1:B2"/>
    <mergeCell ref="C1:C2"/>
    <mergeCell ref="D1:D2"/>
    <mergeCell ref="E1:E2"/>
  </mergeCells>
  <dataValidations count="2">
    <dataValidation type="list" showInputMessage="1" showErrorMessage="1" promptTitle="How often has this occured?" sqref="B43:B45 B33:B41" xr:uid="{1677B669-1EF3-4E37-A1BF-8E7DEA9059FD}">
      <formula1>"One-off, Irregular but more than once, Regular like weekly, All the time"</formula1>
    </dataValidation>
    <dataValidation type="list" showInputMessage="1" showErrorMessage="1" promptTitle="How often has this occured?" sqref="C1 C3:C1048576" xr:uid="{322FBAEA-051C-4A84-A847-39BA1F88E150}">
      <formula1>"1, 2, 3, 4"</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99476-2598-4110-837C-0F6C563654A6}">
  <dimension ref="A1:R142"/>
  <sheetViews>
    <sheetView topLeftCell="A51" workbookViewId="0">
      <selection activeCell="D131" sqref="D131"/>
    </sheetView>
  </sheetViews>
  <sheetFormatPr defaultRowHeight="14.4"/>
  <cols>
    <col min="2" max="2" width="18" customWidth="1"/>
    <col min="3" max="3" width="42.5546875" customWidth="1"/>
    <col min="4" max="4" width="47.109375" customWidth="1"/>
    <col min="5" max="10" width="14.5546875" customWidth="1"/>
    <col min="11" max="11" width="22.88671875" customWidth="1"/>
    <col min="12" max="12" width="22" customWidth="1"/>
    <col min="13" max="13" width="21.5546875" customWidth="1"/>
    <col min="14" max="14" width="20.6640625" customWidth="1"/>
  </cols>
  <sheetData>
    <row r="1" spans="1:18">
      <c r="A1" s="77" t="s">
        <v>0</v>
      </c>
      <c r="B1" s="77" t="s">
        <v>1</v>
      </c>
      <c r="C1" s="78" t="s">
        <v>2</v>
      </c>
      <c r="D1" s="78" t="s">
        <v>3</v>
      </c>
      <c r="E1" s="79" t="s">
        <v>641</v>
      </c>
      <c r="F1" s="80"/>
      <c r="G1" s="80"/>
      <c r="H1" s="80"/>
      <c r="I1" s="80"/>
      <c r="J1" s="83" t="s">
        <v>642</v>
      </c>
      <c r="K1" s="81" t="s">
        <v>4</v>
      </c>
      <c r="L1" s="73" t="s">
        <v>5</v>
      </c>
      <c r="M1" s="73" t="s">
        <v>6</v>
      </c>
      <c r="N1" s="75" t="s">
        <v>7</v>
      </c>
    </row>
    <row r="2" spans="1:18" ht="18" customHeight="1">
      <c r="A2" s="77"/>
      <c r="B2" s="77"/>
      <c r="C2" s="78"/>
      <c r="D2" s="78"/>
      <c r="E2" s="28" t="s">
        <v>643</v>
      </c>
      <c r="F2" s="28" t="s">
        <v>644</v>
      </c>
      <c r="G2" s="28" t="s">
        <v>645</v>
      </c>
      <c r="H2" s="28" t="s">
        <v>646</v>
      </c>
      <c r="I2" s="28" t="s">
        <v>647</v>
      </c>
      <c r="J2" s="84"/>
      <c r="K2" s="82"/>
      <c r="L2" s="74"/>
      <c r="M2" s="74"/>
      <c r="N2" s="76"/>
    </row>
    <row r="3" spans="1:18" ht="216">
      <c r="A3" s="34">
        <v>33</v>
      </c>
      <c r="B3" s="35">
        <v>4</v>
      </c>
      <c r="C3" s="36" t="s">
        <v>70</v>
      </c>
      <c r="D3" s="36" t="s">
        <v>229</v>
      </c>
      <c r="E3" s="36">
        <v>2</v>
      </c>
      <c r="F3" s="36">
        <v>2</v>
      </c>
      <c r="G3" s="36">
        <v>2</v>
      </c>
      <c r="H3" s="36">
        <v>2</v>
      </c>
      <c r="I3" s="36">
        <v>2</v>
      </c>
      <c r="J3" s="36">
        <f>_xlfn.MODE.SNGL(E3:I3)</f>
        <v>2</v>
      </c>
      <c r="K3" s="10" t="s">
        <v>71</v>
      </c>
      <c r="L3" s="11" t="s">
        <v>72</v>
      </c>
      <c r="M3" s="11" t="s">
        <v>54</v>
      </c>
      <c r="N3" s="9" t="s">
        <v>73</v>
      </c>
    </row>
    <row r="4" spans="1:18" ht="216">
      <c r="A4" s="2">
        <v>33</v>
      </c>
      <c r="B4" s="24">
        <v>4</v>
      </c>
      <c r="C4" s="19" t="s">
        <v>70</v>
      </c>
      <c r="D4" s="19" t="s">
        <v>230</v>
      </c>
      <c r="E4" s="19">
        <v>2</v>
      </c>
      <c r="F4" s="19">
        <v>2</v>
      </c>
      <c r="G4" s="19">
        <v>2</v>
      </c>
      <c r="H4" s="19">
        <v>2</v>
      </c>
      <c r="I4" s="19">
        <v>2</v>
      </c>
      <c r="J4" s="36">
        <f t="shared" ref="J4:J57" si="0">_xlfn.MODE.SNGL(E4:I4)</f>
        <v>2</v>
      </c>
      <c r="K4" s="10" t="s">
        <v>71</v>
      </c>
      <c r="L4" s="11" t="s">
        <v>72</v>
      </c>
      <c r="M4" s="11" t="s">
        <v>54</v>
      </c>
      <c r="N4" s="9" t="s">
        <v>73</v>
      </c>
    </row>
    <row r="5" spans="1:18" ht="388.8">
      <c r="A5" s="2">
        <v>34</v>
      </c>
      <c r="B5" s="24">
        <v>4</v>
      </c>
      <c r="C5" s="19" t="s">
        <v>74</v>
      </c>
      <c r="D5" s="19" t="s">
        <v>231</v>
      </c>
      <c r="E5" s="19">
        <v>3</v>
      </c>
      <c r="F5" s="19">
        <v>2</v>
      </c>
      <c r="G5" s="19">
        <v>3</v>
      </c>
      <c r="H5" s="19">
        <v>3</v>
      </c>
      <c r="I5" s="19">
        <v>3</v>
      </c>
      <c r="J5" s="36">
        <f t="shared" si="0"/>
        <v>3</v>
      </c>
      <c r="K5" s="10" t="s">
        <v>71</v>
      </c>
      <c r="L5" s="11" t="s">
        <v>75</v>
      </c>
      <c r="M5" s="11" t="s">
        <v>76</v>
      </c>
      <c r="N5" s="9" t="s">
        <v>77</v>
      </c>
    </row>
    <row r="6" spans="1:18" ht="273.60000000000002">
      <c r="A6" s="2">
        <v>34</v>
      </c>
      <c r="B6" s="24">
        <v>4</v>
      </c>
      <c r="C6" s="19" t="s">
        <v>74</v>
      </c>
      <c r="D6" s="19" t="s">
        <v>232</v>
      </c>
      <c r="E6" s="19">
        <v>3</v>
      </c>
      <c r="F6" s="19">
        <v>2</v>
      </c>
      <c r="G6" s="19">
        <v>3</v>
      </c>
      <c r="H6" s="19">
        <v>3</v>
      </c>
      <c r="I6" s="19">
        <v>3</v>
      </c>
      <c r="J6" s="36">
        <f t="shared" si="0"/>
        <v>3</v>
      </c>
      <c r="K6" s="10" t="s">
        <v>71</v>
      </c>
      <c r="L6" s="11" t="s">
        <v>75</v>
      </c>
      <c r="M6" s="11" t="s">
        <v>76</v>
      </c>
      <c r="N6" s="9" t="s">
        <v>77</v>
      </c>
      <c r="R6" s="23"/>
    </row>
    <row r="7" spans="1:18" ht="273.60000000000002">
      <c r="A7" s="2">
        <v>34</v>
      </c>
      <c r="B7" s="24">
        <v>4</v>
      </c>
      <c r="C7" s="19" t="s">
        <v>74</v>
      </c>
      <c r="D7" s="19" t="s">
        <v>233</v>
      </c>
      <c r="E7" s="19">
        <v>3</v>
      </c>
      <c r="F7" s="19">
        <v>2</v>
      </c>
      <c r="G7" s="19">
        <v>3</v>
      </c>
      <c r="H7" s="19">
        <v>3</v>
      </c>
      <c r="I7" s="19">
        <v>3</v>
      </c>
      <c r="J7" s="36">
        <f t="shared" si="0"/>
        <v>3</v>
      </c>
      <c r="K7" s="10" t="s">
        <v>71</v>
      </c>
      <c r="L7" s="11" t="s">
        <v>75</v>
      </c>
      <c r="M7" s="11" t="s">
        <v>76</v>
      </c>
      <c r="N7" s="9" t="s">
        <v>77</v>
      </c>
      <c r="R7" s="23"/>
    </row>
    <row r="8" spans="1:18" ht="100.8">
      <c r="A8" s="2">
        <v>35</v>
      </c>
      <c r="B8" s="24"/>
      <c r="C8" s="20" t="s">
        <v>78</v>
      </c>
      <c r="D8" s="20" t="s">
        <v>234</v>
      </c>
      <c r="E8" s="20">
        <v>2</v>
      </c>
      <c r="F8" s="20">
        <v>2</v>
      </c>
      <c r="G8" s="20">
        <v>3</v>
      </c>
      <c r="H8" s="20">
        <v>2</v>
      </c>
      <c r="I8" s="20">
        <v>2</v>
      </c>
      <c r="J8" s="36">
        <f t="shared" si="0"/>
        <v>2</v>
      </c>
      <c r="K8" s="11" t="s">
        <v>75</v>
      </c>
      <c r="L8" s="11" t="s">
        <v>75</v>
      </c>
      <c r="M8" s="11" t="s">
        <v>54</v>
      </c>
      <c r="N8" s="9" t="s">
        <v>77</v>
      </c>
    </row>
    <row r="9" spans="1:18" ht="129.6">
      <c r="A9" s="2">
        <v>35</v>
      </c>
      <c r="B9" s="24">
        <v>3</v>
      </c>
      <c r="C9" s="20" t="s">
        <v>78</v>
      </c>
      <c r="D9" s="20" t="s">
        <v>235</v>
      </c>
      <c r="E9" s="20">
        <v>3</v>
      </c>
      <c r="F9" s="20">
        <v>3</v>
      </c>
      <c r="G9" s="20">
        <v>3</v>
      </c>
      <c r="H9" s="20">
        <v>3</v>
      </c>
      <c r="I9" s="20">
        <v>3</v>
      </c>
      <c r="J9" s="36">
        <f t="shared" si="0"/>
        <v>3</v>
      </c>
      <c r="K9" s="11" t="s">
        <v>75</v>
      </c>
      <c r="L9" s="11" t="s">
        <v>75</v>
      </c>
      <c r="M9" s="11" t="s">
        <v>54</v>
      </c>
      <c r="N9" s="9" t="s">
        <v>77</v>
      </c>
    </row>
    <row r="10" spans="1:18" ht="100.8">
      <c r="A10" s="2">
        <v>35</v>
      </c>
      <c r="B10" s="24">
        <v>3</v>
      </c>
      <c r="C10" s="20" t="s">
        <v>78</v>
      </c>
      <c r="D10" s="20" t="s">
        <v>236</v>
      </c>
      <c r="E10" s="20">
        <v>3</v>
      </c>
      <c r="F10" s="20">
        <v>3</v>
      </c>
      <c r="G10" s="20">
        <v>3</v>
      </c>
      <c r="H10" s="20">
        <v>3</v>
      </c>
      <c r="I10" s="20">
        <v>3</v>
      </c>
      <c r="J10" s="36">
        <f t="shared" si="0"/>
        <v>3</v>
      </c>
      <c r="K10" s="11" t="s">
        <v>75</v>
      </c>
      <c r="L10" s="11" t="s">
        <v>75</v>
      </c>
      <c r="M10" s="11" t="s">
        <v>54</v>
      </c>
      <c r="N10" s="9" t="s">
        <v>77</v>
      </c>
    </row>
    <row r="11" spans="1:18" ht="159.75" customHeight="1">
      <c r="A11" s="2">
        <v>36</v>
      </c>
      <c r="B11" s="24">
        <v>2</v>
      </c>
      <c r="C11" s="20" t="s">
        <v>79</v>
      </c>
      <c r="D11" s="20" t="s">
        <v>237</v>
      </c>
      <c r="E11" s="20">
        <v>3</v>
      </c>
      <c r="F11" s="20">
        <v>3</v>
      </c>
      <c r="G11" s="20">
        <v>3</v>
      </c>
      <c r="H11" s="20">
        <v>3</v>
      </c>
      <c r="I11" s="20">
        <v>3</v>
      </c>
      <c r="J11" s="36">
        <f t="shared" si="0"/>
        <v>3</v>
      </c>
      <c r="K11" s="11" t="s">
        <v>72</v>
      </c>
      <c r="L11" s="11" t="s">
        <v>72</v>
      </c>
      <c r="M11" s="11" t="s">
        <v>11</v>
      </c>
      <c r="N11" s="9" t="s">
        <v>80</v>
      </c>
    </row>
    <row r="12" spans="1:18" ht="144">
      <c r="A12" s="2">
        <v>36</v>
      </c>
      <c r="B12" s="24"/>
      <c r="C12" s="20" t="s">
        <v>79</v>
      </c>
      <c r="D12" s="20" t="s">
        <v>238</v>
      </c>
      <c r="E12" s="20">
        <v>3</v>
      </c>
      <c r="F12" s="20">
        <v>3</v>
      </c>
      <c r="G12" s="20">
        <v>3</v>
      </c>
      <c r="H12" s="20">
        <v>3</v>
      </c>
      <c r="I12" s="20">
        <v>3</v>
      </c>
      <c r="J12" s="36">
        <f t="shared" si="0"/>
        <v>3</v>
      </c>
      <c r="K12" s="11" t="s">
        <v>72</v>
      </c>
      <c r="L12" s="11" t="s">
        <v>72</v>
      </c>
      <c r="M12" s="11" t="s">
        <v>11</v>
      </c>
      <c r="N12" s="9" t="s">
        <v>80</v>
      </c>
    </row>
    <row r="13" spans="1:18" ht="141.75" customHeight="1">
      <c r="A13" s="2">
        <v>37</v>
      </c>
      <c r="B13" s="24">
        <v>1</v>
      </c>
      <c r="C13" s="20" t="s">
        <v>81</v>
      </c>
      <c r="D13" s="20" t="s">
        <v>239</v>
      </c>
      <c r="E13" s="20">
        <v>1</v>
      </c>
      <c r="F13" s="20">
        <v>1</v>
      </c>
      <c r="G13" s="20">
        <v>1</v>
      </c>
      <c r="H13" s="20">
        <v>1</v>
      </c>
      <c r="I13" s="20">
        <v>1</v>
      </c>
      <c r="J13" s="36">
        <f t="shared" si="0"/>
        <v>1</v>
      </c>
      <c r="K13" s="11" t="s">
        <v>82</v>
      </c>
      <c r="L13" s="11" t="s">
        <v>82</v>
      </c>
      <c r="M13" s="11" t="s">
        <v>11</v>
      </c>
      <c r="N13" s="9" t="s">
        <v>80</v>
      </c>
    </row>
    <row r="14" spans="1:18" ht="86.4">
      <c r="A14" s="2">
        <v>37</v>
      </c>
      <c r="B14" s="24">
        <v>1</v>
      </c>
      <c r="C14" s="20" t="s">
        <v>81</v>
      </c>
      <c r="D14" s="20" t="s">
        <v>240</v>
      </c>
      <c r="E14" s="20">
        <v>1</v>
      </c>
      <c r="F14" s="20">
        <v>1</v>
      </c>
      <c r="G14" s="20">
        <v>1</v>
      </c>
      <c r="H14" s="20">
        <v>1</v>
      </c>
      <c r="I14" s="20">
        <v>1</v>
      </c>
      <c r="J14" s="36">
        <f t="shared" si="0"/>
        <v>1</v>
      </c>
      <c r="K14" s="11" t="s">
        <v>82</v>
      </c>
      <c r="L14" s="11" t="s">
        <v>82</v>
      </c>
      <c r="M14" s="11" t="s">
        <v>11</v>
      </c>
      <c r="N14" s="9" t="s">
        <v>80</v>
      </c>
    </row>
    <row r="15" spans="1:18" ht="259.2">
      <c r="A15" s="2">
        <v>38</v>
      </c>
      <c r="B15" s="24">
        <v>2</v>
      </c>
      <c r="C15" s="20" t="s">
        <v>83</v>
      </c>
      <c r="D15" s="20" t="s">
        <v>241</v>
      </c>
      <c r="E15" s="20">
        <v>2</v>
      </c>
      <c r="F15" s="20">
        <v>1</v>
      </c>
      <c r="G15" s="20">
        <v>2</v>
      </c>
      <c r="H15" s="20">
        <v>2</v>
      </c>
      <c r="I15" s="20">
        <v>2</v>
      </c>
      <c r="J15" s="36">
        <f t="shared" si="0"/>
        <v>2</v>
      </c>
      <c r="K15" s="11" t="s">
        <v>72</v>
      </c>
      <c r="L15" s="11" t="s">
        <v>72</v>
      </c>
      <c r="M15" s="11" t="s">
        <v>11</v>
      </c>
      <c r="N15" s="9" t="s">
        <v>80</v>
      </c>
    </row>
    <row r="16" spans="1:18" ht="216">
      <c r="A16" s="2">
        <v>38</v>
      </c>
      <c r="B16" s="24">
        <v>2</v>
      </c>
      <c r="C16" s="20" t="s">
        <v>83</v>
      </c>
      <c r="D16" s="20" t="s">
        <v>242</v>
      </c>
      <c r="E16" s="20">
        <v>2</v>
      </c>
      <c r="F16" s="20">
        <v>1</v>
      </c>
      <c r="G16" s="20">
        <v>2</v>
      </c>
      <c r="H16" s="20">
        <v>2</v>
      </c>
      <c r="I16" s="20">
        <v>2</v>
      </c>
      <c r="J16" s="36">
        <f t="shared" si="0"/>
        <v>2</v>
      </c>
      <c r="K16" s="11" t="s">
        <v>72</v>
      </c>
      <c r="L16" s="11" t="s">
        <v>72</v>
      </c>
      <c r="M16" s="11" t="s">
        <v>11</v>
      </c>
      <c r="N16" s="9" t="s">
        <v>80</v>
      </c>
    </row>
    <row r="17" spans="1:14" ht="216">
      <c r="A17" s="2">
        <v>38</v>
      </c>
      <c r="B17" s="24">
        <v>2</v>
      </c>
      <c r="C17" s="20" t="s">
        <v>83</v>
      </c>
      <c r="D17" s="20" t="s">
        <v>243</v>
      </c>
      <c r="E17" s="20">
        <v>1</v>
      </c>
      <c r="F17" s="20">
        <v>1</v>
      </c>
      <c r="G17" s="20">
        <v>1</v>
      </c>
      <c r="H17" s="20">
        <v>1</v>
      </c>
      <c r="I17" s="20">
        <v>1</v>
      </c>
      <c r="J17" s="36">
        <f t="shared" si="0"/>
        <v>1</v>
      </c>
      <c r="K17" s="11" t="s">
        <v>72</v>
      </c>
      <c r="L17" s="11" t="s">
        <v>72</v>
      </c>
      <c r="M17" s="11" t="s">
        <v>11</v>
      </c>
      <c r="N17" s="9" t="s">
        <v>80</v>
      </c>
    </row>
    <row r="18" spans="1:14" ht="216">
      <c r="A18" s="2">
        <v>38</v>
      </c>
      <c r="B18" s="24">
        <v>2</v>
      </c>
      <c r="C18" s="20" t="s">
        <v>83</v>
      </c>
      <c r="D18" s="20" t="s">
        <v>244</v>
      </c>
      <c r="E18" s="20">
        <v>2</v>
      </c>
      <c r="F18" s="20">
        <v>1</v>
      </c>
      <c r="G18" s="20">
        <v>1</v>
      </c>
      <c r="H18" s="20">
        <v>1</v>
      </c>
      <c r="I18" s="20">
        <v>2</v>
      </c>
      <c r="J18" s="36">
        <f t="shared" si="0"/>
        <v>1</v>
      </c>
      <c r="K18" s="11" t="s">
        <v>72</v>
      </c>
      <c r="L18" s="11" t="s">
        <v>72</v>
      </c>
      <c r="M18" s="11" t="s">
        <v>11</v>
      </c>
      <c r="N18" s="9" t="s">
        <v>80</v>
      </c>
    </row>
    <row r="19" spans="1:14" ht="388.8">
      <c r="A19" s="2">
        <v>39</v>
      </c>
      <c r="B19" s="24">
        <v>1</v>
      </c>
      <c r="C19" s="20" t="s">
        <v>84</v>
      </c>
      <c r="D19" s="20" t="s">
        <v>245</v>
      </c>
      <c r="E19" s="20">
        <v>2</v>
      </c>
      <c r="F19" s="20">
        <v>3</v>
      </c>
      <c r="G19" s="20">
        <v>2</v>
      </c>
      <c r="H19" s="20">
        <v>3</v>
      </c>
      <c r="I19" s="20">
        <v>2</v>
      </c>
      <c r="J19" s="36">
        <f t="shared" si="0"/>
        <v>2</v>
      </c>
      <c r="K19" s="11" t="s">
        <v>82</v>
      </c>
      <c r="L19" s="11" t="s">
        <v>72</v>
      </c>
      <c r="M19" s="11" t="s">
        <v>27</v>
      </c>
      <c r="N19" s="9" t="s">
        <v>80</v>
      </c>
    </row>
    <row r="20" spans="1:14" ht="374.4">
      <c r="A20" s="2">
        <v>39</v>
      </c>
      <c r="B20" s="24">
        <v>1</v>
      </c>
      <c r="C20" s="20" t="s">
        <v>84</v>
      </c>
      <c r="D20" s="20" t="s">
        <v>246</v>
      </c>
      <c r="E20" s="20">
        <v>2</v>
      </c>
      <c r="F20" s="20">
        <v>3</v>
      </c>
      <c r="G20" s="20">
        <v>2</v>
      </c>
      <c r="H20" s="20">
        <v>2</v>
      </c>
      <c r="I20" s="20">
        <v>2</v>
      </c>
      <c r="J20" s="36">
        <f t="shared" si="0"/>
        <v>2</v>
      </c>
      <c r="K20" s="11" t="s">
        <v>82</v>
      </c>
      <c r="L20" s="11" t="s">
        <v>72</v>
      </c>
      <c r="M20" s="11" t="s">
        <v>27</v>
      </c>
      <c r="N20" s="9" t="s">
        <v>80</v>
      </c>
    </row>
    <row r="21" spans="1:14" ht="374.4">
      <c r="A21" s="2">
        <v>39</v>
      </c>
      <c r="B21" s="24">
        <v>1</v>
      </c>
      <c r="C21" s="20" t="s">
        <v>84</v>
      </c>
      <c r="D21" s="20" t="s">
        <v>247</v>
      </c>
      <c r="E21" s="20">
        <v>2</v>
      </c>
      <c r="F21" s="20">
        <v>3</v>
      </c>
      <c r="G21" s="20">
        <v>2</v>
      </c>
      <c r="H21" s="20">
        <v>3</v>
      </c>
      <c r="I21" s="20">
        <v>2</v>
      </c>
      <c r="J21" s="36">
        <f t="shared" si="0"/>
        <v>2</v>
      </c>
      <c r="K21" s="11" t="s">
        <v>82</v>
      </c>
      <c r="L21" s="11" t="s">
        <v>72</v>
      </c>
      <c r="M21" s="11" t="s">
        <v>27</v>
      </c>
      <c r="N21" s="9" t="s">
        <v>80</v>
      </c>
    </row>
    <row r="22" spans="1:14" ht="115.2">
      <c r="A22" s="2">
        <v>40</v>
      </c>
      <c r="B22" s="24">
        <v>1</v>
      </c>
      <c r="C22" s="20" t="s">
        <v>85</v>
      </c>
      <c r="D22" s="20" t="s">
        <v>248</v>
      </c>
      <c r="E22" s="20">
        <v>1</v>
      </c>
      <c r="F22" s="20">
        <v>2</v>
      </c>
      <c r="G22" s="20">
        <v>1</v>
      </c>
      <c r="H22" s="20">
        <v>2</v>
      </c>
      <c r="I22" s="20">
        <v>1</v>
      </c>
      <c r="J22" s="36">
        <f t="shared" si="0"/>
        <v>1</v>
      </c>
      <c r="K22" s="11" t="s">
        <v>82</v>
      </c>
      <c r="L22" s="11" t="s">
        <v>72</v>
      </c>
      <c r="M22" s="11" t="s">
        <v>86</v>
      </c>
      <c r="N22" s="9" t="s">
        <v>80</v>
      </c>
    </row>
    <row r="23" spans="1:14" ht="129.6">
      <c r="A23" s="2">
        <v>40</v>
      </c>
      <c r="B23" s="24">
        <v>1</v>
      </c>
      <c r="C23" s="20" t="s">
        <v>85</v>
      </c>
      <c r="D23" s="20" t="s">
        <v>249</v>
      </c>
      <c r="E23" s="20">
        <v>1</v>
      </c>
      <c r="F23" s="20">
        <v>2</v>
      </c>
      <c r="G23" s="20">
        <v>1</v>
      </c>
      <c r="H23" s="20">
        <v>2</v>
      </c>
      <c r="I23" s="20">
        <v>1</v>
      </c>
      <c r="J23" s="36">
        <f t="shared" si="0"/>
        <v>1</v>
      </c>
      <c r="K23" s="11" t="s">
        <v>82</v>
      </c>
      <c r="L23" s="11" t="s">
        <v>72</v>
      </c>
      <c r="M23" s="11" t="s">
        <v>86</v>
      </c>
      <c r="N23" s="9" t="s">
        <v>80</v>
      </c>
    </row>
    <row r="24" spans="1:14" ht="365.25" customHeight="1">
      <c r="A24" s="2">
        <v>41</v>
      </c>
      <c r="B24" s="24">
        <v>2</v>
      </c>
      <c r="C24" s="20" t="s">
        <v>87</v>
      </c>
      <c r="D24" s="20" t="s">
        <v>250</v>
      </c>
      <c r="E24" s="20">
        <v>3</v>
      </c>
      <c r="F24" s="20">
        <v>3</v>
      </c>
      <c r="G24" s="20">
        <v>3</v>
      </c>
      <c r="H24" s="20">
        <v>3</v>
      </c>
      <c r="I24" s="20">
        <v>3</v>
      </c>
      <c r="J24" s="36">
        <f t="shared" si="0"/>
        <v>3</v>
      </c>
      <c r="K24" s="11" t="s">
        <v>72</v>
      </c>
      <c r="L24" s="11" t="s">
        <v>72</v>
      </c>
      <c r="M24" s="11" t="s">
        <v>88</v>
      </c>
      <c r="N24" s="9" t="s">
        <v>80</v>
      </c>
    </row>
    <row r="25" spans="1:14" ht="259.2">
      <c r="A25" s="2">
        <v>41</v>
      </c>
      <c r="B25" s="24">
        <v>2</v>
      </c>
      <c r="C25" s="20" t="s">
        <v>87</v>
      </c>
      <c r="D25" s="20" t="s">
        <v>251</v>
      </c>
      <c r="E25" s="20">
        <v>3</v>
      </c>
      <c r="F25" s="20">
        <v>3</v>
      </c>
      <c r="G25" s="20">
        <v>3</v>
      </c>
      <c r="H25" s="20">
        <v>3</v>
      </c>
      <c r="I25" s="20">
        <v>3</v>
      </c>
      <c r="J25" s="36">
        <f t="shared" si="0"/>
        <v>3</v>
      </c>
      <c r="K25" s="11" t="s">
        <v>72</v>
      </c>
      <c r="L25" s="11" t="s">
        <v>72</v>
      </c>
      <c r="M25" s="11" t="s">
        <v>88</v>
      </c>
      <c r="N25" s="9" t="s">
        <v>80</v>
      </c>
    </row>
    <row r="26" spans="1:14" ht="230.4">
      <c r="A26" s="2">
        <v>41</v>
      </c>
      <c r="B26" s="24">
        <v>2</v>
      </c>
      <c r="C26" s="20" t="s">
        <v>87</v>
      </c>
      <c r="D26" s="20" t="s">
        <v>252</v>
      </c>
      <c r="E26" s="20">
        <v>3</v>
      </c>
      <c r="F26" s="20">
        <v>3</v>
      </c>
      <c r="G26" s="20">
        <v>3</v>
      </c>
      <c r="H26" s="20">
        <v>3</v>
      </c>
      <c r="I26" s="20">
        <v>3</v>
      </c>
      <c r="J26" s="36">
        <f t="shared" si="0"/>
        <v>3</v>
      </c>
      <c r="K26" s="11" t="s">
        <v>72</v>
      </c>
      <c r="L26" s="11" t="s">
        <v>72</v>
      </c>
      <c r="M26" s="11" t="s">
        <v>88</v>
      </c>
      <c r="N26" s="9" t="s">
        <v>80</v>
      </c>
    </row>
    <row r="27" spans="1:14" ht="144">
      <c r="A27" s="2">
        <v>42</v>
      </c>
      <c r="B27" s="24">
        <v>4</v>
      </c>
      <c r="C27" s="20" t="s">
        <v>649</v>
      </c>
      <c r="D27" s="20" t="s">
        <v>253</v>
      </c>
      <c r="E27" s="20">
        <v>3</v>
      </c>
      <c r="F27" s="20">
        <v>3</v>
      </c>
      <c r="G27" s="20">
        <v>3</v>
      </c>
      <c r="H27" s="20">
        <v>3</v>
      </c>
      <c r="I27" s="20">
        <v>3</v>
      </c>
      <c r="J27" s="36">
        <f t="shared" si="0"/>
        <v>3</v>
      </c>
      <c r="K27" s="11" t="s">
        <v>71</v>
      </c>
      <c r="L27" s="11" t="s">
        <v>75</v>
      </c>
      <c r="M27" s="11" t="s">
        <v>90</v>
      </c>
      <c r="N27" s="9" t="s">
        <v>80</v>
      </c>
    </row>
    <row r="28" spans="1:14" ht="144">
      <c r="A28" s="2">
        <v>42</v>
      </c>
      <c r="B28" s="24">
        <v>4</v>
      </c>
      <c r="C28" s="20" t="s">
        <v>89</v>
      </c>
      <c r="D28" s="20" t="s">
        <v>254</v>
      </c>
      <c r="E28" s="20">
        <v>3</v>
      </c>
      <c r="F28" s="20">
        <v>3</v>
      </c>
      <c r="G28" s="20">
        <v>3</v>
      </c>
      <c r="H28" s="20">
        <v>3</v>
      </c>
      <c r="I28" s="20">
        <v>3</v>
      </c>
      <c r="J28" s="36">
        <f t="shared" si="0"/>
        <v>3</v>
      </c>
      <c r="K28" s="11" t="s">
        <v>71</v>
      </c>
      <c r="L28" s="11" t="s">
        <v>75</v>
      </c>
      <c r="M28" s="11" t="s">
        <v>90</v>
      </c>
      <c r="N28" s="9" t="s">
        <v>80</v>
      </c>
    </row>
    <row r="29" spans="1:14" ht="198" customHeight="1">
      <c r="A29" s="2">
        <v>43</v>
      </c>
      <c r="B29" s="24">
        <v>2</v>
      </c>
      <c r="C29" s="20" t="s">
        <v>91</v>
      </c>
      <c r="D29" s="20" t="s">
        <v>255</v>
      </c>
      <c r="E29" s="20">
        <v>1</v>
      </c>
      <c r="F29" s="20">
        <v>1</v>
      </c>
      <c r="G29" s="20">
        <v>1</v>
      </c>
      <c r="H29" s="20">
        <v>1</v>
      </c>
      <c r="I29" s="20">
        <v>1</v>
      </c>
      <c r="J29" s="36">
        <f t="shared" si="0"/>
        <v>1</v>
      </c>
      <c r="K29" s="11" t="s">
        <v>72</v>
      </c>
      <c r="L29" s="11" t="s">
        <v>72</v>
      </c>
      <c r="M29" s="11" t="s">
        <v>86</v>
      </c>
      <c r="N29" s="9" t="s">
        <v>80</v>
      </c>
    </row>
    <row r="30" spans="1:14" ht="237" customHeight="1">
      <c r="A30" s="2">
        <v>43</v>
      </c>
      <c r="B30" s="24">
        <v>2</v>
      </c>
      <c r="C30" s="20" t="s">
        <v>91</v>
      </c>
      <c r="D30" s="20" t="s">
        <v>256</v>
      </c>
      <c r="E30" s="20">
        <v>1</v>
      </c>
      <c r="F30" s="20">
        <v>1</v>
      </c>
      <c r="G30" s="20">
        <v>1</v>
      </c>
      <c r="H30" s="20">
        <v>1</v>
      </c>
      <c r="I30" s="20">
        <v>1</v>
      </c>
      <c r="J30" s="36">
        <f t="shared" si="0"/>
        <v>1</v>
      </c>
      <c r="K30" s="11" t="s">
        <v>72</v>
      </c>
      <c r="L30" s="11" t="s">
        <v>72</v>
      </c>
      <c r="M30" s="11" t="s">
        <v>86</v>
      </c>
      <c r="N30" s="9" t="s">
        <v>80</v>
      </c>
    </row>
    <row r="31" spans="1:14" ht="187.2">
      <c r="A31" s="2">
        <v>43</v>
      </c>
      <c r="B31" s="24">
        <v>2</v>
      </c>
      <c r="C31" s="20" t="s">
        <v>91</v>
      </c>
      <c r="D31" s="20" t="s">
        <v>257</v>
      </c>
      <c r="E31" s="20">
        <v>1</v>
      </c>
      <c r="F31" s="20">
        <v>1</v>
      </c>
      <c r="G31" s="20">
        <v>1</v>
      </c>
      <c r="H31" s="20">
        <v>1</v>
      </c>
      <c r="I31" s="20">
        <v>1</v>
      </c>
      <c r="J31" s="36">
        <f t="shared" si="0"/>
        <v>1</v>
      </c>
      <c r="K31" s="11" t="s">
        <v>72</v>
      </c>
      <c r="L31" s="11" t="s">
        <v>72</v>
      </c>
      <c r="M31" s="11" t="s">
        <v>86</v>
      </c>
      <c r="N31" s="9" t="s">
        <v>80</v>
      </c>
    </row>
    <row r="32" spans="1:14" ht="115.2">
      <c r="A32" s="2">
        <v>44</v>
      </c>
      <c r="B32" s="24">
        <v>4</v>
      </c>
      <c r="C32" s="20" t="s">
        <v>92</v>
      </c>
      <c r="D32" s="20" t="s">
        <v>258</v>
      </c>
      <c r="E32" s="20">
        <v>1</v>
      </c>
      <c r="F32" s="20">
        <v>1</v>
      </c>
      <c r="G32" s="20">
        <v>1</v>
      </c>
      <c r="H32" s="20">
        <v>1</v>
      </c>
      <c r="I32" s="20">
        <v>1</v>
      </c>
      <c r="J32" s="36">
        <f t="shared" si="0"/>
        <v>1</v>
      </c>
      <c r="K32" s="11" t="s">
        <v>71</v>
      </c>
      <c r="L32" s="11" t="s">
        <v>75</v>
      </c>
      <c r="M32" s="11" t="s">
        <v>93</v>
      </c>
      <c r="N32" s="9" t="s">
        <v>80</v>
      </c>
    </row>
    <row r="33" spans="1:17" ht="129.6">
      <c r="A33" s="2">
        <v>44</v>
      </c>
      <c r="B33" s="24">
        <v>4</v>
      </c>
      <c r="C33" s="20" t="s">
        <v>92</v>
      </c>
      <c r="D33" s="20" t="s">
        <v>259</v>
      </c>
      <c r="E33" s="20">
        <v>1</v>
      </c>
      <c r="F33" s="20">
        <v>1</v>
      </c>
      <c r="G33" s="20">
        <v>1</v>
      </c>
      <c r="H33" s="20">
        <v>1</v>
      </c>
      <c r="I33" s="20">
        <v>1</v>
      </c>
      <c r="J33" s="36">
        <f t="shared" si="0"/>
        <v>1</v>
      </c>
      <c r="K33" s="11" t="s">
        <v>71</v>
      </c>
      <c r="L33" s="11" t="s">
        <v>75</v>
      </c>
      <c r="M33" s="11" t="s">
        <v>93</v>
      </c>
      <c r="N33" s="9" t="s">
        <v>80</v>
      </c>
    </row>
    <row r="34" spans="1:17" ht="235.5" customHeight="1">
      <c r="A34" s="2">
        <v>45</v>
      </c>
      <c r="B34" s="24">
        <v>2</v>
      </c>
      <c r="C34" s="20" t="s">
        <v>94</v>
      </c>
      <c r="D34" s="20" t="s">
        <v>260</v>
      </c>
      <c r="E34" s="20">
        <v>1</v>
      </c>
      <c r="F34" s="20">
        <v>1</v>
      </c>
      <c r="G34" s="20">
        <v>1</v>
      </c>
      <c r="H34" s="20">
        <v>1</v>
      </c>
      <c r="I34" s="20">
        <v>1</v>
      </c>
      <c r="J34" s="36">
        <f t="shared" si="0"/>
        <v>1</v>
      </c>
      <c r="K34" s="11" t="s">
        <v>72</v>
      </c>
      <c r="L34" s="11" t="s">
        <v>72</v>
      </c>
      <c r="M34" s="11" t="s">
        <v>27</v>
      </c>
      <c r="N34" s="9" t="s">
        <v>80</v>
      </c>
    </row>
    <row r="35" spans="1:17" ht="158.4">
      <c r="A35" s="2">
        <v>45</v>
      </c>
      <c r="B35" s="24">
        <v>2</v>
      </c>
      <c r="C35" s="20" t="s">
        <v>94</v>
      </c>
      <c r="D35" s="20" t="s">
        <v>261</v>
      </c>
      <c r="E35" s="20">
        <v>1</v>
      </c>
      <c r="F35" s="20">
        <v>1</v>
      </c>
      <c r="G35" s="20">
        <v>1</v>
      </c>
      <c r="H35" s="20">
        <v>1</v>
      </c>
      <c r="I35" s="20">
        <v>1</v>
      </c>
      <c r="J35" s="36">
        <f t="shared" si="0"/>
        <v>1</v>
      </c>
      <c r="K35" s="11" t="s">
        <v>72</v>
      </c>
      <c r="L35" s="11" t="s">
        <v>72</v>
      </c>
      <c r="M35" s="11" t="s">
        <v>27</v>
      </c>
      <c r="N35" s="9" t="s">
        <v>80</v>
      </c>
    </row>
    <row r="36" spans="1:17" ht="172.8">
      <c r="A36" s="2">
        <v>45</v>
      </c>
      <c r="B36" s="24">
        <v>2</v>
      </c>
      <c r="C36" s="20" t="s">
        <v>94</v>
      </c>
      <c r="D36" s="20" t="s">
        <v>262</v>
      </c>
      <c r="E36" s="20">
        <v>1</v>
      </c>
      <c r="F36" s="20">
        <v>1</v>
      </c>
      <c r="G36" s="20">
        <v>1</v>
      </c>
      <c r="H36" s="20">
        <v>1</v>
      </c>
      <c r="I36" s="20">
        <v>1</v>
      </c>
      <c r="J36" s="36">
        <f t="shared" si="0"/>
        <v>1</v>
      </c>
      <c r="K36" s="11" t="s">
        <v>72</v>
      </c>
      <c r="L36" s="11" t="s">
        <v>72</v>
      </c>
      <c r="M36" s="11" t="s">
        <v>27</v>
      </c>
      <c r="N36" s="9" t="s">
        <v>80</v>
      </c>
    </row>
    <row r="37" spans="1:17" ht="201.6">
      <c r="A37" s="2">
        <v>46</v>
      </c>
      <c r="B37" s="24">
        <v>4</v>
      </c>
      <c r="C37" s="20" t="s">
        <v>95</v>
      </c>
      <c r="D37" s="20" t="s">
        <v>263</v>
      </c>
      <c r="E37" s="20">
        <v>3</v>
      </c>
      <c r="F37" s="20">
        <v>3</v>
      </c>
      <c r="G37" s="20">
        <v>3</v>
      </c>
      <c r="H37" s="20">
        <v>3</v>
      </c>
      <c r="I37" s="20">
        <v>3</v>
      </c>
      <c r="J37" s="36">
        <f t="shared" si="0"/>
        <v>3</v>
      </c>
      <c r="K37" s="11" t="s">
        <v>71</v>
      </c>
      <c r="L37" s="11" t="s">
        <v>72</v>
      </c>
      <c r="M37" s="11" t="s">
        <v>54</v>
      </c>
      <c r="N37" s="9" t="s">
        <v>80</v>
      </c>
    </row>
    <row r="38" spans="1:17" ht="201.6">
      <c r="A38" s="2">
        <v>46</v>
      </c>
      <c r="B38" s="24">
        <v>4</v>
      </c>
      <c r="C38" s="20" t="s">
        <v>95</v>
      </c>
      <c r="D38" s="20" t="s">
        <v>264</v>
      </c>
      <c r="E38" s="20">
        <v>3</v>
      </c>
      <c r="F38" s="20">
        <v>3</v>
      </c>
      <c r="G38" s="20">
        <v>3</v>
      </c>
      <c r="H38" s="20">
        <v>3</v>
      </c>
      <c r="I38" s="20">
        <v>3</v>
      </c>
      <c r="J38" s="36">
        <f t="shared" si="0"/>
        <v>3</v>
      </c>
      <c r="K38" s="11" t="s">
        <v>71</v>
      </c>
      <c r="L38" s="11" t="s">
        <v>72</v>
      </c>
      <c r="M38" s="11" t="s">
        <v>54</v>
      </c>
      <c r="N38" s="9" t="s">
        <v>80</v>
      </c>
    </row>
    <row r="39" spans="1:17" ht="244.8">
      <c r="A39" s="2">
        <v>47</v>
      </c>
      <c r="B39" s="24">
        <v>2</v>
      </c>
      <c r="C39" s="20" t="s">
        <v>96</v>
      </c>
      <c r="D39" s="20" t="s">
        <v>265</v>
      </c>
      <c r="E39" s="20">
        <v>1</v>
      </c>
      <c r="F39" s="20">
        <v>1</v>
      </c>
      <c r="G39" s="20">
        <v>1</v>
      </c>
      <c r="H39" s="20">
        <v>1</v>
      </c>
      <c r="I39" s="20">
        <v>1</v>
      </c>
      <c r="J39" s="36">
        <f t="shared" si="0"/>
        <v>1</v>
      </c>
      <c r="K39" s="11" t="s">
        <v>72</v>
      </c>
      <c r="L39" s="11" t="s">
        <v>82</v>
      </c>
      <c r="M39" s="11" t="s">
        <v>11</v>
      </c>
      <c r="N39" s="9" t="s">
        <v>80</v>
      </c>
    </row>
    <row r="40" spans="1:17" ht="230.4">
      <c r="A40" s="2">
        <v>47</v>
      </c>
      <c r="B40" s="24">
        <v>2</v>
      </c>
      <c r="C40" s="20" t="s">
        <v>96</v>
      </c>
      <c r="D40" s="20" t="s">
        <v>266</v>
      </c>
      <c r="E40" s="20">
        <v>1</v>
      </c>
      <c r="F40" s="20">
        <v>1</v>
      </c>
      <c r="G40" s="20">
        <v>1</v>
      </c>
      <c r="H40" s="20">
        <v>1</v>
      </c>
      <c r="I40" s="20">
        <v>1</v>
      </c>
      <c r="J40" s="36">
        <f t="shared" si="0"/>
        <v>1</v>
      </c>
      <c r="K40" s="11" t="s">
        <v>72</v>
      </c>
      <c r="L40" s="11" t="s">
        <v>82</v>
      </c>
      <c r="M40" s="11" t="s">
        <v>11</v>
      </c>
      <c r="N40" s="9" t="s">
        <v>80</v>
      </c>
    </row>
    <row r="41" spans="1:17" ht="172.8">
      <c r="A41" s="2">
        <v>47</v>
      </c>
      <c r="B41" s="24">
        <v>2</v>
      </c>
      <c r="C41" s="20" t="s">
        <v>96</v>
      </c>
      <c r="D41" s="20" t="s">
        <v>267</v>
      </c>
      <c r="E41" s="20">
        <v>1</v>
      </c>
      <c r="F41" s="20">
        <v>1</v>
      </c>
      <c r="G41" s="20">
        <v>1</v>
      </c>
      <c r="H41" s="20">
        <v>1</v>
      </c>
      <c r="I41" s="20">
        <v>1</v>
      </c>
      <c r="J41" s="36">
        <f t="shared" si="0"/>
        <v>1</v>
      </c>
      <c r="K41" s="11" t="s">
        <v>72</v>
      </c>
      <c r="L41" s="11" t="s">
        <v>82</v>
      </c>
      <c r="M41" s="11" t="s">
        <v>11</v>
      </c>
      <c r="N41" s="9" t="s">
        <v>80</v>
      </c>
    </row>
    <row r="42" spans="1:17" ht="115.2">
      <c r="A42" s="2">
        <v>48</v>
      </c>
      <c r="B42" s="24">
        <v>2</v>
      </c>
      <c r="C42" s="20" t="s">
        <v>97</v>
      </c>
      <c r="D42" s="20" t="s">
        <v>268</v>
      </c>
      <c r="E42" s="20">
        <v>2</v>
      </c>
      <c r="F42" s="20">
        <v>1</v>
      </c>
      <c r="G42" s="20">
        <v>2</v>
      </c>
      <c r="H42" s="20">
        <v>2</v>
      </c>
      <c r="I42" s="20">
        <v>2</v>
      </c>
      <c r="J42" s="36">
        <f t="shared" si="0"/>
        <v>2</v>
      </c>
      <c r="K42" s="11" t="s">
        <v>72</v>
      </c>
      <c r="L42" s="11" t="s">
        <v>82</v>
      </c>
      <c r="M42" s="11" t="s">
        <v>86</v>
      </c>
      <c r="N42" s="9" t="s">
        <v>98</v>
      </c>
    </row>
    <row r="43" spans="1:17" ht="86.4">
      <c r="A43" s="2">
        <v>48</v>
      </c>
      <c r="B43" s="24">
        <v>2</v>
      </c>
      <c r="C43" s="20" t="s">
        <v>97</v>
      </c>
      <c r="D43" s="20" t="s">
        <v>269</v>
      </c>
      <c r="E43" s="20">
        <v>2</v>
      </c>
      <c r="F43" s="20">
        <v>1</v>
      </c>
      <c r="G43" s="20">
        <v>2</v>
      </c>
      <c r="H43" s="20">
        <v>2</v>
      </c>
      <c r="I43" s="20">
        <v>2</v>
      </c>
      <c r="J43" s="36">
        <f t="shared" si="0"/>
        <v>2</v>
      </c>
      <c r="K43" s="11" t="s">
        <v>72</v>
      </c>
      <c r="L43" s="11" t="s">
        <v>82</v>
      </c>
      <c r="M43" s="11" t="s">
        <v>86</v>
      </c>
      <c r="N43" s="9" t="s">
        <v>98</v>
      </c>
    </row>
    <row r="44" spans="1:17" ht="165" customHeight="1">
      <c r="A44" s="2">
        <v>49</v>
      </c>
      <c r="B44" s="24">
        <v>3</v>
      </c>
      <c r="C44" s="20" t="s">
        <v>99</v>
      </c>
      <c r="D44" s="20" t="s">
        <v>270</v>
      </c>
      <c r="E44" s="20">
        <v>4</v>
      </c>
      <c r="F44" s="20">
        <v>4</v>
      </c>
      <c r="G44" s="20">
        <v>4</v>
      </c>
      <c r="H44" s="20">
        <v>4</v>
      </c>
      <c r="I44" s="20">
        <v>4</v>
      </c>
      <c r="J44" s="36">
        <f t="shared" si="0"/>
        <v>4</v>
      </c>
      <c r="K44" s="11" t="s">
        <v>75</v>
      </c>
      <c r="L44" s="11" t="s">
        <v>71</v>
      </c>
      <c r="M44" s="11" t="s">
        <v>100</v>
      </c>
      <c r="N44" s="9" t="s">
        <v>101</v>
      </c>
    </row>
    <row r="45" spans="1:17" ht="115.2">
      <c r="A45" s="2">
        <v>49</v>
      </c>
      <c r="B45" s="24">
        <v>3</v>
      </c>
      <c r="C45" s="25" t="s">
        <v>99</v>
      </c>
      <c r="D45" s="25" t="s">
        <v>271</v>
      </c>
      <c r="E45" s="25">
        <v>4</v>
      </c>
      <c r="F45" s="25">
        <v>4</v>
      </c>
      <c r="G45" s="25">
        <v>4</v>
      </c>
      <c r="H45" s="25">
        <v>4</v>
      </c>
      <c r="I45" s="25">
        <v>4</v>
      </c>
      <c r="J45" s="36">
        <f t="shared" si="0"/>
        <v>4</v>
      </c>
      <c r="K45" s="26" t="s">
        <v>75</v>
      </c>
      <c r="L45" s="26" t="s">
        <v>71</v>
      </c>
      <c r="M45" s="26" t="s">
        <v>100</v>
      </c>
      <c r="N45" s="9" t="s">
        <v>101</v>
      </c>
      <c r="Q45" s="23"/>
    </row>
    <row r="46" spans="1:17" ht="115.2">
      <c r="A46" s="2">
        <v>49</v>
      </c>
      <c r="B46" s="24">
        <v>3</v>
      </c>
      <c r="C46" s="20" t="s">
        <v>99</v>
      </c>
      <c r="D46" s="20" t="s">
        <v>272</v>
      </c>
      <c r="E46" s="20">
        <v>4</v>
      </c>
      <c r="F46" s="20">
        <v>4</v>
      </c>
      <c r="G46" s="20">
        <v>4</v>
      </c>
      <c r="H46" s="20">
        <v>4</v>
      </c>
      <c r="I46" s="20">
        <v>4</v>
      </c>
      <c r="J46" s="36">
        <f t="shared" si="0"/>
        <v>4</v>
      </c>
      <c r="K46" s="11" t="s">
        <v>75</v>
      </c>
      <c r="L46" s="11" t="s">
        <v>71</v>
      </c>
      <c r="M46" s="11" t="s">
        <v>100</v>
      </c>
      <c r="N46" s="9" t="s">
        <v>101</v>
      </c>
      <c r="Q46" s="23"/>
    </row>
    <row r="47" spans="1:17" ht="115.2">
      <c r="A47" s="2">
        <v>50</v>
      </c>
      <c r="B47" s="24">
        <v>1</v>
      </c>
      <c r="C47" s="20" t="s">
        <v>102</v>
      </c>
      <c r="D47" s="20" t="s">
        <v>273</v>
      </c>
      <c r="E47" s="20">
        <v>4</v>
      </c>
      <c r="F47" s="20">
        <v>4</v>
      </c>
      <c r="G47" s="20">
        <v>4</v>
      </c>
      <c r="H47" s="20">
        <v>4</v>
      </c>
      <c r="I47" s="20">
        <v>4</v>
      </c>
      <c r="J47" s="36">
        <f t="shared" si="0"/>
        <v>4</v>
      </c>
      <c r="K47" s="11" t="s">
        <v>82</v>
      </c>
      <c r="L47" s="11" t="s">
        <v>71</v>
      </c>
      <c r="M47" s="11" t="s">
        <v>103</v>
      </c>
      <c r="N47" s="9" t="s">
        <v>101</v>
      </c>
    </row>
    <row r="48" spans="1:17" ht="100.8">
      <c r="A48" s="2">
        <v>50</v>
      </c>
      <c r="B48" s="24">
        <v>1</v>
      </c>
      <c r="C48" s="25" t="s">
        <v>102</v>
      </c>
      <c r="D48" s="25" t="s">
        <v>274</v>
      </c>
      <c r="E48" s="25">
        <v>4</v>
      </c>
      <c r="F48" s="25">
        <v>4</v>
      </c>
      <c r="G48" s="25">
        <v>4</v>
      </c>
      <c r="H48" s="25">
        <v>4</v>
      </c>
      <c r="I48" s="25">
        <v>4</v>
      </c>
      <c r="J48" s="36">
        <f t="shared" si="0"/>
        <v>4</v>
      </c>
      <c r="K48" s="26" t="s">
        <v>82</v>
      </c>
      <c r="L48" s="26" t="s">
        <v>71</v>
      </c>
      <c r="M48" s="26" t="s">
        <v>103</v>
      </c>
      <c r="N48" s="9" t="s">
        <v>101</v>
      </c>
    </row>
    <row r="49" spans="1:14" ht="100.8">
      <c r="A49" s="2">
        <v>50</v>
      </c>
      <c r="B49" s="24">
        <v>1</v>
      </c>
      <c r="C49" s="20" t="s">
        <v>102</v>
      </c>
      <c r="D49" s="20" t="s">
        <v>275</v>
      </c>
      <c r="E49" s="20">
        <v>4</v>
      </c>
      <c r="F49" s="20">
        <v>4</v>
      </c>
      <c r="G49" s="20">
        <v>4</v>
      </c>
      <c r="H49" s="20">
        <v>4</v>
      </c>
      <c r="I49" s="20">
        <v>4</v>
      </c>
      <c r="J49" s="36">
        <f t="shared" si="0"/>
        <v>4</v>
      </c>
      <c r="K49" s="11" t="s">
        <v>82</v>
      </c>
      <c r="L49" s="11" t="s">
        <v>71</v>
      </c>
      <c r="M49" s="11" t="s">
        <v>103</v>
      </c>
      <c r="N49" s="9" t="s">
        <v>101</v>
      </c>
    </row>
    <row r="50" spans="1:14" ht="321.75" customHeight="1">
      <c r="A50" s="2">
        <v>51</v>
      </c>
      <c r="B50" s="24">
        <v>3</v>
      </c>
      <c r="C50" s="20" t="s">
        <v>104</v>
      </c>
      <c r="D50" s="20" t="s">
        <v>276</v>
      </c>
      <c r="E50" s="20">
        <v>3</v>
      </c>
      <c r="F50" s="20">
        <v>3</v>
      </c>
      <c r="G50" s="20">
        <v>4</v>
      </c>
      <c r="H50" s="20">
        <v>4</v>
      </c>
      <c r="I50" s="20">
        <v>4</v>
      </c>
      <c r="J50" s="36">
        <f t="shared" si="0"/>
        <v>4</v>
      </c>
      <c r="K50" s="11" t="s">
        <v>75</v>
      </c>
      <c r="L50" s="11" t="s">
        <v>75</v>
      </c>
      <c r="M50" s="11" t="s">
        <v>105</v>
      </c>
      <c r="N50" s="9" t="s">
        <v>101</v>
      </c>
    </row>
    <row r="51" spans="1:14" ht="273.60000000000002">
      <c r="A51" s="2">
        <v>51</v>
      </c>
      <c r="B51" s="24">
        <v>3</v>
      </c>
      <c r="C51" s="25" t="s">
        <v>104</v>
      </c>
      <c r="D51" s="47" t="s">
        <v>277</v>
      </c>
      <c r="E51" s="25" t="s">
        <v>650</v>
      </c>
      <c r="F51" s="25">
        <v>1</v>
      </c>
      <c r="G51" s="25">
        <v>2</v>
      </c>
      <c r="H51" s="25">
        <v>2</v>
      </c>
      <c r="I51" s="25">
        <v>2</v>
      </c>
      <c r="J51" s="36">
        <f t="shared" si="0"/>
        <v>2</v>
      </c>
      <c r="K51" s="26" t="s">
        <v>75</v>
      </c>
      <c r="L51" s="26" t="s">
        <v>75</v>
      </c>
      <c r="M51" s="26" t="s">
        <v>105</v>
      </c>
      <c r="N51" s="9" t="s">
        <v>101</v>
      </c>
    </row>
    <row r="52" spans="1:14" ht="288">
      <c r="A52" s="2">
        <v>51</v>
      </c>
      <c r="B52" s="24">
        <v>3</v>
      </c>
      <c r="C52" s="20" t="s">
        <v>104</v>
      </c>
      <c r="D52" s="20" t="s">
        <v>278</v>
      </c>
      <c r="E52" s="20">
        <v>2</v>
      </c>
      <c r="F52" s="20">
        <v>2</v>
      </c>
      <c r="G52" s="20">
        <v>1</v>
      </c>
      <c r="H52" s="20">
        <v>2</v>
      </c>
      <c r="I52" s="20">
        <v>1</v>
      </c>
      <c r="J52" s="36">
        <f t="shared" si="0"/>
        <v>2</v>
      </c>
      <c r="K52" s="11" t="s">
        <v>75</v>
      </c>
      <c r="L52" s="11" t="s">
        <v>75</v>
      </c>
      <c r="M52" s="11" t="s">
        <v>105</v>
      </c>
      <c r="N52" s="9" t="s">
        <v>101</v>
      </c>
    </row>
    <row r="53" spans="1:14" ht="158.4">
      <c r="A53" s="2">
        <v>52</v>
      </c>
      <c r="B53" s="24">
        <v>2</v>
      </c>
      <c r="C53" s="20" t="s">
        <v>106</v>
      </c>
      <c r="D53" s="20" t="s">
        <v>279</v>
      </c>
      <c r="E53" s="20">
        <v>2</v>
      </c>
      <c r="F53" s="20">
        <v>2</v>
      </c>
      <c r="G53" s="20">
        <v>2</v>
      </c>
      <c r="H53" s="20">
        <v>2</v>
      </c>
      <c r="I53" s="20">
        <v>2</v>
      </c>
      <c r="J53" s="36">
        <f t="shared" si="0"/>
        <v>2</v>
      </c>
      <c r="K53" s="11" t="s">
        <v>72</v>
      </c>
      <c r="L53" s="11" t="s">
        <v>72</v>
      </c>
      <c r="M53" s="11" t="s">
        <v>107</v>
      </c>
      <c r="N53" s="9" t="s">
        <v>108</v>
      </c>
    </row>
    <row r="54" spans="1:14" ht="144">
      <c r="A54" s="2">
        <v>52</v>
      </c>
      <c r="B54" s="24">
        <v>2</v>
      </c>
      <c r="C54" s="20" t="s">
        <v>106</v>
      </c>
      <c r="D54" s="20" t="s">
        <v>280</v>
      </c>
      <c r="E54" s="20">
        <v>2</v>
      </c>
      <c r="F54" s="20">
        <v>2</v>
      </c>
      <c r="G54" s="20">
        <v>2</v>
      </c>
      <c r="H54" s="20">
        <v>2</v>
      </c>
      <c r="I54" s="20">
        <v>2</v>
      </c>
      <c r="J54" s="36">
        <f t="shared" si="0"/>
        <v>2</v>
      </c>
      <c r="K54" s="11" t="s">
        <v>72</v>
      </c>
      <c r="L54" s="11" t="s">
        <v>72</v>
      </c>
      <c r="M54" s="11" t="s">
        <v>107</v>
      </c>
      <c r="N54" s="9" t="s">
        <v>108</v>
      </c>
    </row>
    <row r="55" spans="1:14" ht="316.8">
      <c r="A55" s="2">
        <v>53</v>
      </c>
      <c r="B55" s="24">
        <v>2</v>
      </c>
      <c r="C55" s="20" t="s">
        <v>109</v>
      </c>
      <c r="D55" s="47" t="s">
        <v>281</v>
      </c>
      <c r="E55" s="25">
        <v>2</v>
      </c>
      <c r="F55" s="25">
        <v>1</v>
      </c>
      <c r="G55" s="25" t="s">
        <v>651</v>
      </c>
      <c r="H55" s="25">
        <v>2</v>
      </c>
      <c r="I55" s="25">
        <v>2</v>
      </c>
      <c r="J55" s="36">
        <f t="shared" si="0"/>
        <v>2</v>
      </c>
      <c r="K55" s="11" t="s">
        <v>72</v>
      </c>
      <c r="L55" s="11" t="s">
        <v>72</v>
      </c>
      <c r="M55" s="11" t="s">
        <v>76</v>
      </c>
      <c r="N55" s="9" t="s">
        <v>108</v>
      </c>
    </row>
    <row r="56" spans="1:14" ht="288">
      <c r="A56" s="2">
        <v>53</v>
      </c>
      <c r="B56" s="24">
        <v>2</v>
      </c>
      <c r="C56" s="25" t="s">
        <v>109</v>
      </c>
      <c r="D56" s="25" t="s">
        <v>282</v>
      </c>
      <c r="E56" s="25">
        <v>2</v>
      </c>
      <c r="F56" s="25">
        <v>1</v>
      </c>
      <c r="G56" s="25">
        <v>3</v>
      </c>
      <c r="H56" s="25">
        <v>2</v>
      </c>
      <c r="I56" s="25">
        <v>2</v>
      </c>
      <c r="J56" s="36">
        <f t="shared" si="0"/>
        <v>2</v>
      </c>
      <c r="K56" s="26" t="s">
        <v>72</v>
      </c>
      <c r="L56" s="26" t="s">
        <v>72</v>
      </c>
      <c r="M56" s="26" t="s">
        <v>76</v>
      </c>
      <c r="N56" s="9" t="s">
        <v>108</v>
      </c>
    </row>
    <row r="57" spans="1:14" ht="244.8">
      <c r="A57" s="2">
        <v>53</v>
      </c>
      <c r="B57" s="24">
        <v>2</v>
      </c>
      <c r="C57" s="20" t="s">
        <v>109</v>
      </c>
      <c r="D57" s="25" t="s">
        <v>283</v>
      </c>
      <c r="E57" s="25">
        <v>2</v>
      </c>
      <c r="F57" s="25">
        <v>1</v>
      </c>
      <c r="G57" s="25">
        <v>3</v>
      </c>
      <c r="H57" s="25">
        <v>2</v>
      </c>
      <c r="I57" s="25">
        <v>2</v>
      </c>
      <c r="J57" s="36">
        <f t="shared" si="0"/>
        <v>2</v>
      </c>
      <c r="K57" s="11" t="s">
        <v>72</v>
      </c>
      <c r="L57" s="11" t="s">
        <v>72</v>
      </c>
      <c r="M57" s="11" t="s">
        <v>76</v>
      </c>
      <c r="N57" s="9" t="s">
        <v>108</v>
      </c>
    </row>
    <row r="58" spans="1:14">
      <c r="B58">
        <v>1</v>
      </c>
      <c r="D58" t="s">
        <v>366</v>
      </c>
      <c r="F58">
        <v>4</v>
      </c>
    </row>
    <row r="59" spans="1:14">
      <c r="B59">
        <v>1</v>
      </c>
      <c r="D59" t="s">
        <v>367</v>
      </c>
      <c r="F59">
        <v>4</v>
      </c>
    </row>
    <row r="60" spans="1:14">
      <c r="B60">
        <v>1</v>
      </c>
      <c r="D60" t="s">
        <v>368</v>
      </c>
      <c r="F60">
        <v>4</v>
      </c>
    </row>
    <row r="61" spans="1:14">
      <c r="B61">
        <v>1</v>
      </c>
      <c r="D61" t="s">
        <v>369</v>
      </c>
      <c r="F61">
        <v>4</v>
      </c>
    </row>
    <row r="62" spans="1:14">
      <c r="B62">
        <v>1</v>
      </c>
      <c r="D62" t="s">
        <v>370</v>
      </c>
      <c r="F62">
        <v>4</v>
      </c>
    </row>
    <row r="63" spans="1:14">
      <c r="B63">
        <v>1</v>
      </c>
      <c r="D63" t="s">
        <v>371</v>
      </c>
      <c r="F63">
        <v>4</v>
      </c>
    </row>
    <row r="64" spans="1:14">
      <c r="B64">
        <v>2</v>
      </c>
      <c r="D64" t="s">
        <v>372</v>
      </c>
      <c r="F64">
        <v>4</v>
      </c>
    </row>
    <row r="65" spans="2:6">
      <c r="B65">
        <v>2</v>
      </c>
      <c r="D65" t="s">
        <v>652</v>
      </c>
      <c r="F65">
        <v>4</v>
      </c>
    </row>
    <row r="66" spans="2:6">
      <c r="B66">
        <v>2</v>
      </c>
      <c r="D66" t="s">
        <v>374</v>
      </c>
      <c r="F66">
        <v>4</v>
      </c>
    </row>
    <row r="67" spans="2:6">
      <c r="B67">
        <v>2</v>
      </c>
      <c r="D67" t="s">
        <v>375</v>
      </c>
      <c r="F67">
        <v>4</v>
      </c>
    </row>
    <row r="68" spans="2:6">
      <c r="B68">
        <v>2</v>
      </c>
      <c r="D68" t="s">
        <v>376</v>
      </c>
      <c r="F68">
        <v>4</v>
      </c>
    </row>
    <row r="69" spans="2:6">
      <c r="B69">
        <v>2</v>
      </c>
      <c r="D69" t="s">
        <v>377</v>
      </c>
      <c r="F69">
        <v>4</v>
      </c>
    </row>
    <row r="70" spans="2:6">
      <c r="B70">
        <v>2</v>
      </c>
      <c r="D70" t="s">
        <v>378</v>
      </c>
      <c r="F70">
        <v>4</v>
      </c>
    </row>
    <row r="71" spans="2:6">
      <c r="B71">
        <v>1</v>
      </c>
      <c r="D71" t="s">
        <v>379</v>
      </c>
      <c r="F71">
        <v>4</v>
      </c>
    </row>
    <row r="72" spans="2:6">
      <c r="B72">
        <v>1</v>
      </c>
      <c r="D72" t="s">
        <v>380</v>
      </c>
      <c r="F72">
        <v>4</v>
      </c>
    </row>
    <row r="73" spans="2:6">
      <c r="B73">
        <v>1</v>
      </c>
      <c r="D73" t="s">
        <v>381</v>
      </c>
      <c r="F73">
        <v>4</v>
      </c>
    </row>
    <row r="74" spans="2:6">
      <c r="B74">
        <v>3</v>
      </c>
      <c r="D74" t="s">
        <v>382</v>
      </c>
      <c r="F74">
        <v>4</v>
      </c>
    </row>
    <row r="75" spans="2:6">
      <c r="B75">
        <v>3</v>
      </c>
      <c r="D75" t="s">
        <v>383</v>
      </c>
      <c r="F75">
        <v>4</v>
      </c>
    </row>
    <row r="76" spans="2:6">
      <c r="B76">
        <v>1</v>
      </c>
      <c r="D76" t="s">
        <v>384</v>
      </c>
      <c r="F76">
        <v>4</v>
      </c>
    </row>
    <row r="77" spans="2:6">
      <c r="B77">
        <v>1</v>
      </c>
      <c r="D77" t="s">
        <v>385</v>
      </c>
      <c r="F77">
        <v>4</v>
      </c>
    </row>
    <row r="78" spans="2:6">
      <c r="B78">
        <v>1</v>
      </c>
      <c r="D78" t="s">
        <v>386</v>
      </c>
      <c r="F78">
        <v>4</v>
      </c>
    </row>
    <row r="79" spans="2:6">
      <c r="B79">
        <v>1</v>
      </c>
      <c r="D79" t="s">
        <v>387</v>
      </c>
      <c r="F79">
        <v>4</v>
      </c>
    </row>
    <row r="80" spans="2:6">
      <c r="B80">
        <v>1</v>
      </c>
      <c r="D80" t="s">
        <v>388</v>
      </c>
      <c r="F80">
        <v>4</v>
      </c>
    </row>
    <row r="81" spans="2:6">
      <c r="B81">
        <v>3</v>
      </c>
      <c r="D81" t="s">
        <v>389</v>
      </c>
      <c r="F81">
        <v>4</v>
      </c>
    </row>
    <row r="82" spans="2:6">
      <c r="B82">
        <v>3</v>
      </c>
      <c r="D82" t="s">
        <v>390</v>
      </c>
      <c r="F82">
        <v>4</v>
      </c>
    </row>
    <row r="83" spans="2:6">
      <c r="B83">
        <v>3</v>
      </c>
      <c r="D83" t="s">
        <v>391</v>
      </c>
      <c r="F83">
        <v>4</v>
      </c>
    </row>
    <row r="84" spans="2:6">
      <c r="B84">
        <v>1</v>
      </c>
      <c r="D84" t="s">
        <v>392</v>
      </c>
      <c r="F84">
        <v>4</v>
      </c>
    </row>
    <row r="85" spans="2:6">
      <c r="B85">
        <v>1</v>
      </c>
      <c r="D85" t="s">
        <v>393</v>
      </c>
      <c r="F85">
        <v>4</v>
      </c>
    </row>
    <row r="86" spans="2:6">
      <c r="B86">
        <v>1</v>
      </c>
      <c r="D86" t="s">
        <v>394</v>
      </c>
      <c r="F86">
        <v>4</v>
      </c>
    </row>
    <row r="87" spans="2:6">
      <c r="B87">
        <v>2</v>
      </c>
      <c r="D87" t="s">
        <v>395</v>
      </c>
      <c r="F87">
        <v>3</v>
      </c>
    </row>
    <row r="88" spans="2:6">
      <c r="B88">
        <v>2</v>
      </c>
      <c r="D88" t="s">
        <v>396</v>
      </c>
      <c r="F88">
        <v>3</v>
      </c>
    </row>
    <row r="89" spans="2:6">
      <c r="B89">
        <v>2</v>
      </c>
      <c r="D89" t="s">
        <v>397</v>
      </c>
      <c r="F89">
        <v>3</v>
      </c>
    </row>
    <row r="90" spans="2:6">
      <c r="B90">
        <v>3</v>
      </c>
      <c r="D90" t="s">
        <v>398</v>
      </c>
      <c r="F90">
        <v>4</v>
      </c>
    </row>
    <row r="91" spans="2:6">
      <c r="B91">
        <v>3</v>
      </c>
      <c r="D91" t="s">
        <v>399</v>
      </c>
      <c r="F91">
        <v>4</v>
      </c>
    </row>
    <row r="92" spans="2:6">
      <c r="B92">
        <v>3</v>
      </c>
      <c r="D92" t="s">
        <v>400</v>
      </c>
      <c r="F92">
        <v>4</v>
      </c>
    </row>
    <row r="93" spans="2:6">
      <c r="B93">
        <v>3</v>
      </c>
      <c r="D93" t="s">
        <v>401</v>
      </c>
      <c r="F93">
        <v>4</v>
      </c>
    </row>
    <row r="94" spans="2:6">
      <c r="B94">
        <v>4</v>
      </c>
      <c r="D94" t="s">
        <v>402</v>
      </c>
      <c r="F94">
        <v>4</v>
      </c>
    </row>
    <row r="95" spans="2:6">
      <c r="B95">
        <v>4</v>
      </c>
      <c r="D95" t="s">
        <v>403</v>
      </c>
      <c r="F95">
        <v>4</v>
      </c>
    </row>
    <row r="96" spans="2:6">
      <c r="B96">
        <v>4</v>
      </c>
      <c r="D96" t="s">
        <v>404</v>
      </c>
      <c r="F96">
        <v>4</v>
      </c>
    </row>
    <row r="97" spans="2:6">
      <c r="B97">
        <v>4</v>
      </c>
      <c r="D97" t="s">
        <v>405</v>
      </c>
      <c r="F97">
        <v>4</v>
      </c>
    </row>
    <row r="99" spans="2:6">
      <c r="B99">
        <v>4</v>
      </c>
      <c r="D99" t="s">
        <v>539</v>
      </c>
      <c r="F99">
        <v>4</v>
      </c>
    </row>
    <row r="100" spans="2:6">
      <c r="B100">
        <v>4</v>
      </c>
      <c r="D100" t="s">
        <v>540</v>
      </c>
      <c r="F100">
        <v>4</v>
      </c>
    </row>
    <row r="101" spans="2:6">
      <c r="B101">
        <v>4</v>
      </c>
      <c r="D101" t="s">
        <v>541</v>
      </c>
      <c r="F101">
        <v>4</v>
      </c>
    </row>
    <row r="102" spans="2:6">
      <c r="B102">
        <v>4</v>
      </c>
      <c r="D102" t="s">
        <v>542</v>
      </c>
      <c r="F102">
        <v>4</v>
      </c>
    </row>
    <row r="103" spans="2:6">
      <c r="B103">
        <v>4</v>
      </c>
      <c r="D103" t="s">
        <v>543</v>
      </c>
      <c r="F103">
        <v>4</v>
      </c>
    </row>
    <row r="104" spans="2:6">
      <c r="B104">
        <v>4</v>
      </c>
      <c r="D104" t="s">
        <v>544</v>
      </c>
      <c r="F104">
        <v>4</v>
      </c>
    </row>
    <row r="105" spans="2:6">
      <c r="B105">
        <v>4</v>
      </c>
      <c r="D105" t="s">
        <v>545</v>
      </c>
      <c r="F105">
        <v>4</v>
      </c>
    </row>
    <row r="106" spans="2:6">
      <c r="B106">
        <v>4</v>
      </c>
      <c r="D106" t="s">
        <v>546</v>
      </c>
      <c r="F106">
        <v>4</v>
      </c>
    </row>
    <row r="107" spans="2:6">
      <c r="B107">
        <v>4</v>
      </c>
      <c r="D107" t="s">
        <v>547</v>
      </c>
      <c r="F107">
        <v>4</v>
      </c>
    </row>
    <row r="108" spans="2:6">
      <c r="B108">
        <v>4</v>
      </c>
      <c r="D108" t="s">
        <v>548</v>
      </c>
      <c r="F108">
        <v>4</v>
      </c>
    </row>
    <row r="109" spans="2:6">
      <c r="B109">
        <v>4</v>
      </c>
      <c r="D109" t="s">
        <v>549</v>
      </c>
      <c r="F109">
        <v>4</v>
      </c>
    </row>
    <row r="110" spans="2:6">
      <c r="B110">
        <v>4</v>
      </c>
      <c r="D110" t="s">
        <v>550</v>
      </c>
      <c r="F110">
        <v>4</v>
      </c>
    </row>
    <row r="111" spans="2:6">
      <c r="B111">
        <v>4</v>
      </c>
      <c r="D111" t="s">
        <v>551</v>
      </c>
      <c r="F111">
        <v>4</v>
      </c>
    </row>
    <row r="112" spans="2:6">
      <c r="B112">
        <v>4</v>
      </c>
      <c r="D112" t="s">
        <v>552</v>
      </c>
      <c r="F112">
        <v>4</v>
      </c>
    </row>
    <row r="113" spans="2:6">
      <c r="B113">
        <v>4</v>
      </c>
      <c r="D113" t="s">
        <v>553</v>
      </c>
      <c r="F113">
        <v>4</v>
      </c>
    </row>
    <row r="114" spans="2:6">
      <c r="B114">
        <v>4</v>
      </c>
      <c r="D114" t="s">
        <v>554</v>
      </c>
      <c r="F114">
        <v>4</v>
      </c>
    </row>
    <row r="115" spans="2:6">
      <c r="B115">
        <v>4</v>
      </c>
      <c r="D115" t="s">
        <v>555</v>
      </c>
      <c r="F115">
        <v>3</v>
      </c>
    </row>
    <row r="116" spans="2:6">
      <c r="B116">
        <v>4</v>
      </c>
      <c r="D116" t="s">
        <v>556</v>
      </c>
      <c r="F116">
        <v>3</v>
      </c>
    </row>
    <row r="117" spans="2:6">
      <c r="B117">
        <v>4</v>
      </c>
      <c r="D117" t="s">
        <v>557</v>
      </c>
      <c r="F117">
        <v>3</v>
      </c>
    </row>
    <row r="118" spans="2:6">
      <c r="B118">
        <v>4</v>
      </c>
      <c r="D118" t="s">
        <v>558</v>
      </c>
      <c r="F118">
        <v>3</v>
      </c>
    </row>
    <row r="119" spans="2:6">
      <c r="B119">
        <v>4</v>
      </c>
      <c r="D119" t="s">
        <v>559</v>
      </c>
      <c r="F119">
        <v>2</v>
      </c>
    </row>
    <row r="120" spans="2:6">
      <c r="B120">
        <v>4</v>
      </c>
      <c r="D120" t="s">
        <v>560</v>
      </c>
      <c r="F120">
        <v>2</v>
      </c>
    </row>
    <row r="121" spans="2:6">
      <c r="B121">
        <v>4</v>
      </c>
      <c r="D121" t="s">
        <v>561</v>
      </c>
      <c r="F121">
        <v>2</v>
      </c>
    </row>
    <row r="122" spans="2:6">
      <c r="B122">
        <v>4</v>
      </c>
      <c r="D122" t="s">
        <v>562</v>
      </c>
      <c r="F122">
        <v>2</v>
      </c>
    </row>
    <row r="123" spans="2:6">
      <c r="B123">
        <v>4</v>
      </c>
      <c r="D123" t="s">
        <v>563</v>
      </c>
      <c r="F123">
        <v>2</v>
      </c>
    </row>
    <row r="124" spans="2:6">
      <c r="B124">
        <v>4</v>
      </c>
      <c r="D124" t="s">
        <v>564</v>
      </c>
      <c r="F124">
        <v>2</v>
      </c>
    </row>
    <row r="125" spans="2:6">
      <c r="B125">
        <v>4</v>
      </c>
      <c r="D125" t="s">
        <v>565</v>
      </c>
      <c r="F125">
        <v>2</v>
      </c>
    </row>
    <row r="126" spans="2:6">
      <c r="B126">
        <v>4</v>
      </c>
      <c r="D126" t="s">
        <v>566</v>
      </c>
      <c r="F126">
        <v>2</v>
      </c>
    </row>
    <row r="127" spans="2:6">
      <c r="B127">
        <v>4</v>
      </c>
      <c r="D127" t="s">
        <v>567</v>
      </c>
      <c r="F127">
        <v>2</v>
      </c>
    </row>
    <row r="128" spans="2:6">
      <c r="B128">
        <v>4</v>
      </c>
      <c r="D128" t="s">
        <v>568</v>
      </c>
      <c r="F128">
        <v>2</v>
      </c>
    </row>
    <row r="129" spans="2:6">
      <c r="B129">
        <v>4</v>
      </c>
      <c r="D129" t="s">
        <v>569</v>
      </c>
      <c r="F129">
        <v>2</v>
      </c>
    </row>
    <row r="130" spans="2:6">
      <c r="B130">
        <v>4</v>
      </c>
      <c r="D130" t="s">
        <v>570</v>
      </c>
      <c r="F130">
        <v>2</v>
      </c>
    </row>
    <row r="131" spans="2:6">
      <c r="B131">
        <v>4</v>
      </c>
      <c r="D131" t="s">
        <v>571</v>
      </c>
      <c r="F131">
        <v>1</v>
      </c>
    </row>
    <row r="132" spans="2:6">
      <c r="B132">
        <v>4</v>
      </c>
      <c r="D132" t="s">
        <v>572</v>
      </c>
      <c r="F132">
        <v>1</v>
      </c>
    </row>
    <row r="133" spans="2:6">
      <c r="B133">
        <v>4</v>
      </c>
      <c r="D133" t="s">
        <v>573</v>
      </c>
      <c r="F133">
        <v>1</v>
      </c>
    </row>
    <row r="134" spans="2:6">
      <c r="B134">
        <v>4</v>
      </c>
      <c r="D134" t="s">
        <v>574</v>
      </c>
      <c r="F134">
        <v>1</v>
      </c>
    </row>
    <row r="135" spans="2:6">
      <c r="B135">
        <v>4</v>
      </c>
      <c r="D135" s="32" t="s">
        <v>575</v>
      </c>
      <c r="F135">
        <v>1</v>
      </c>
    </row>
    <row r="136" spans="2:6">
      <c r="B136">
        <v>4</v>
      </c>
      <c r="D136" t="s">
        <v>576</v>
      </c>
      <c r="F136">
        <v>1</v>
      </c>
    </row>
    <row r="137" spans="2:6">
      <c r="B137">
        <v>4</v>
      </c>
      <c r="D137" s="32" t="s">
        <v>577</v>
      </c>
      <c r="F137">
        <v>1</v>
      </c>
    </row>
    <row r="138" spans="2:6">
      <c r="B138">
        <v>4</v>
      </c>
      <c r="D138" t="s">
        <v>578</v>
      </c>
      <c r="F138">
        <v>1</v>
      </c>
    </row>
    <row r="139" spans="2:6">
      <c r="B139">
        <v>4</v>
      </c>
      <c r="D139" t="s">
        <v>579</v>
      </c>
      <c r="F139">
        <v>1</v>
      </c>
    </row>
    <row r="140" spans="2:6">
      <c r="B140">
        <v>4</v>
      </c>
      <c r="D140" t="s">
        <v>580</v>
      </c>
      <c r="F140">
        <v>1</v>
      </c>
    </row>
    <row r="141" spans="2:6">
      <c r="B141">
        <v>4</v>
      </c>
      <c r="D141" t="s">
        <v>581</v>
      </c>
      <c r="F141">
        <v>1</v>
      </c>
    </row>
    <row r="142" spans="2:6">
      <c r="B142">
        <v>4</v>
      </c>
      <c r="D142" t="s">
        <v>582</v>
      </c>
      <c r="F142">
        <v>1</v>
      </c>
    </row>
  </sheetData>
  <autoFilter ref="K1:K70" xr:uid="{CF699476-2598-4110-837C-0F6C563654A6}"/>
  <mergeCells count="10">
    <mergeCell ref="L1:L2"/>
    <mergeCell ref="M1:M2"/>
    <mergeCell ref="N1:N2"/>
    <mergeCell ref="A1:A2"/>
    <mergeCell ref="B1:B2"/>
    <mergeCell ref="C1:C2"/>
    <mergeCell ref="D1:D2"/>
    <mergeCell ref="E1:I1"/>
    <mergeCell ref="K1:K2"/>
    <mergeCell ref="J1:J2"/>
  </mergeCells>
  <dataValidations count="1">
    <dataValidation type="list" showInputMessage="1" showErrorMessage="1" promptTitle="How often has this occured?" sqref="B1:B1048576" xr:uid="{C5CA8BB8-B0FD-4C6E-B5FC-B349CC469841}">
      <formula1>"1, 2, 3, 4"</formula1>
    </dataValidation>
  </dataValidations>
  <hyperlinks>
    <hyperlink ref="N4" r:id="rId1" xr:uid="{78B446F9-1709-42C9-90DD-D45DA85FB31C}"/>
    <hyperlink ref="N7" r:id="rId2" xr:uid="{B6AD5D32-19EF-450A-9016-D3C0921689D3}"/>
    <hyperlink ref="N10" r:id="rId3" xr:uid="{8256C8A5-857D-40A8-A008-D4D43E290EE1}"/>
    <hyperlink ref="N12" r:id="rId4" xr:uid="{BA2D75FC-03E3-4A54-9AB6-FAF0B409469A}"/>
    <hyperlink ref="N14" r:id="rId5" xr:uid="{A299B3A8-D140-4817-BA1D-304203EA71BB}"/>
    <hyperlink ref="N18" r:id="rId6" xr:uid="{527BA6E5-B59F-4C19-BBC7-E734548C77ED}"/>
    <hyperlink ref="N21" r:id="rId7" xr:uid="{AC785125-B5ED-4616-89E7-1C6F705E7EB9}"/>
    <hyperlink ref="N23" r:id="rId8" xr:uid="{D4E3C7BB-6BCD-4705-81AC-F56E82670F90}"/>
    <hyperlink ref="N26" r:id="rId9" xr:uid="{456950B1-8BFD-4E03-BD9A-78579BAF838E}"/>
    <hyperlink ref="N28" r:id="rId10" xr:uid="{BBE6AD3C-40E2-4898-8EB1-C58A37355B15}"/>
    <hyperlink ref="N31" r:id="rId11" xr:uid="{31BA97E4-12BC-4163-8C99-64C94FE40168}"/>
    <hyperlink ref="N33" r:id="rId12" xr:uid="{579A0279-3701-4FAA-97F2-C952616AC5E1}"/>
    <hyperlink ref="N36" r:id="rId13" xr:uid="{1F35C7A2-0E39-4657-BC12-5F0006E4CAA8}"/>
    <hyperlink ref="N38" r:id="rId14" xr:uid="{434BF77B-C6EC-4EF5-B7E8-3771CBFAA455}"/>
    <hyperlink ref="N41" r:id="rId15" xr:uid="{EC8174C2-F712-40B2-9B82-DD8967EC9B1D}"/>
    <hyperlink ref="N43" r:id="rId16" xr:uid="{986F2C2A-8584-4289-8D86-C5DC3F914D92}"/>
    <hyperlink ref="N46" r:id="rId17" xr:uid="{6876A973-0BF4-452C-9D74-FCE8414E1519}"/>
    <hyperlink ref="N49" r:id="rId18" xr:uid="{69A99F60-AE96-4E2B-B240-7B24B55DD6B0}"/>
    <hyperlink ref="N52" r:id="rId19" xr:uid="{F4CA553D-00C4-4B8F-BA2D-30CA5F1DAE74}"/>
    <hyperlink ref="N54" r:id="rId20" xr:uid="{148A53C7-3C90-42F9-808C-AACDFD2F595B}"/>
    <hyperlink ref="N57" r:id="rId21" xr:uid="{1368AA59-CDC4-402F-B736-1ABD86FE3738}"/>
    <hyperlink ref="N3" r:id="rId22" xr:uid="{4DE7FB10-5016-4D41-9349-1F788DACAC09}"/>
    <hyperlink ref="N5" r:id="rId23" xr:uid="{6892AE6A-FD62-4F02-BD4C-ED677340DA56}"/>
    <hyperlink ref="N8" r:id="rId24" xr:uid="{898FCE87-3A2C-4A1E-A1CA-ED7BEE362CEA}"/>
    <hyperlink ref="N11" r:id="rId25" xr:uid="{9E00C328-BCEA-410D-94BF-E7B6A1DB666E}"/>
    <hyperlink ref="N13" r:id="rId26" xr:uid="{40B46CC6-54B7-4040-BCAC-3B149AF08F6C}"/>
    <hyperlink ref="N15" r:id="rId27" xr:uid="{D232A38E-0E6D-4668-A9D9-ACCD48F36B21}"/>
    <hyperlink ref="N19" r:id="rId28" xr:uid="{4FA7C587-0DF8-495F-8FC6-2EC253759A4E}"/>
    <hyperlink ref="N22" r:id="rId29" xr:uid="{F0BFA26D-39A1-479C-AB79-1B6825836FE4}"/>
    <hyperlink ref="N24" r:id="rId30" xr:uid="{6258F87F-9969-4F46-951A-329DF04D8C92}"/>
    <hyperlink ref="N27" r:id="rId31" xr:uid="{16D628D7-1D28-47A8-A6DE-B89D5E96BB2F}"/>
    <hyperlink ref="N29" r:id="rId32" xr:uid="{6411F38B-01C8-400C-8C2F-409606F85B44}"/>
    <hyperlink ref="N32" r:id="rId33" xr:uid="{1C235259-9753-4028-A43F-4E8F647AEC37}"/>
    <hyperlink ref="N34" r:id="rId34" xr:uid="{11C0A57A-28F8-4A2B-A07C-5310651D6DC7}"/>
    <hyperlink ref="N37" r:id="rId35" xr:uid="{E24CF42E-D157-4326-B10B-C38B57E12676}"/>
    <hyperlink ref="N39" r:id="rId36" xr:uid="{45A2C2A7-3E56-45A7-959B-9DE8646A2055}"/>
    <hyperlink ref="N42" r:id="rId37" xr:uid="{51C9D5B9-DCD3-4481-8573-CFD12C10C936}"/>
    <hyperlink ref="N44" r:id="rId38" xr:uid="{1D0129A3-E672-4875-B6C3-8F3D5519C58A}"/>
    <hyperlink ref="N47" r:id="rId39" xr:uid="{6B9EBAC8-81A9-4EE9-992C-A67E133B89A5}"/>
    <hyperlink ref="N50" r:id="rId40" xr:uid="{7A3BE907-1ECC-4618-B454-879E5BF97854}"/>
    <hyperlink ref="N53" r:id="rId41" xr:uid="{0D62CE63-BE99-4967-BF3F-4CAFE154D8B5}"/>
    <hyperlink ref="N55" r:id="rId42" xr:uid="{06DE42E3-602D-427F-9530-0848F26FEB07}"/>
    <hyperlink ref="N6" r:id="rId43" xr:uid="{83DA8056-25CE-4359-BD34-8FB945EF22A8}"/>
    <hyperlink ref="N9" r:id="rId44" xr:uid="{5DCEC0DE-BB1F-4906-A55C-1C5893E89D7C}"/>
    <hyperlink ref="N16" r:id="rId45" xr:uid="{243D1784-7DEF-4BF9-B254-1139E2CE2F99}"/>
    <hyperlink ref="N17" r:id="rId46" xr:uid="{AD6AC7D3-5806-43FF-9995-DD3DECF79379}"/>
    <hyperlink ref="N20" r:id="rId47" xr:uid="{8F7983DB-F3B8-47AD-A2AD-504A5C195712}"/>
    <hyperlink ref="N25" r:id="rId48" xr:uid="{DE0589FF-74FF-40FD-9518-E9A2FFE6E9AD}"/>
    <hyperlink ref="N30" r:id="rId49" xr:uid="{81239D98-EDFB-47AC-AF70-6E1D27004B06}"/>
    <hyperlink ref="N35" r:id="rId50" xr:uid="{3326C17D-0A0D-4B0B-A926-F7C057EE45CC}"/>
    <hyperlink ref="N40" r:id="rId51" xr:uid="{8D00D073-3EEE-4FB9-B665-B75F7DD23A3A}"/>
    <hyperlink ref="N45" r:id="rId52" xr:uid="{78FCE37F-0601-464B-B69D-2C606199DB8F}"/>
    <hyperlink ref="N48" r:id="rId53" xr:uid="{4088FB7A-F565-4745-A1BF-8B0EB7BCF782}"/>
    <hyperlink ref="N51" r:id="rId54" xr:uid="{BCEFE132-DCE0-4C55-805E-2D1EAA1DD9A3}"/>
    <hyperlink ref="N56" r:id="rId55" xr:uid="{95382F00-5277-4C0F-9C57-306C618A47E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DEE16-B8C5-442E-8B7E-AC5D85EC10DD}">
  <dimension ref="A1:K124"/>
  <sheetViews>
    <sheetView topLeftCell="A110" workbookViewId="0">
      <selection activeCell="E116" sqref="E116"/>
    </sheetView>
  </sheetViews>
  <sheetFormatPr defaultRowHeight="14.4"/>
  <cols>
    <col min="1" max="1" width="5.6640625" customWidth="1"/>
    <col min="2" max="3" width="17" customWidth="1"/>
    <col min="4" max="4" width="94.44140625" customWidth="1"/>
    <col min="5" max="5" width="91.6640625" customWidth="1"/>
  </cols>
  <sheetData>
    <row r="1" spans="1:11" ht="18.75" customHeight="1">
      <c r="A1" s="85" t="s">
        <v>0</v>
      </c>
      <c r="B1" s="85" t="s">
        <v>1</v>
      </c>
      <c r="C1" s="12"/>
      <c r="D1" s="70" t="s">
        <v>2</v>
      </c>
      <c r="E1" s="70" t="s">
        <v>3</v>
      </c>
      <c r="F1" s="69" t="s">
        <v>641</v>
      </c>
      <c r="G1" s="69"/>
      <c r="H1" s="69"/>
      <c r="I1" s="69"/>
      <c r="J1" s="69"/>
      <c r="K1" s="71" t="s">
        <v>653</v>
      </c>
    </row>
    <row r="2" spans="1:11" ht="18.75" customHeight="1">
      <c r="A2" s="85"/>
      <c r="B2" s="85"/>
      <c r="C2" s="12"/>
      <c r="D2" s="70"/>
      <c r="E2" s="70"/>
      <c r="F2" s="13" t="s">
        <v>643</v>
      </c>
      <c r="G2" s="13" t="s">
        <v>644</v>
      </c>
      <c r="H2" s="13" t="s">
        <v>645</v>
      </c>
      <c r="I2" s="13" t="s">
        <v>646</v>
      </c>
      <c r="J2" s="13" t="s">
        <v>647</v>
      </c>
      <c r="K2" s="71"/>
    </row>
    <row r="3" spans="1:11" ht="160.5" customHeight="1">
      <c r="A3" s="88">
        <v>1</v>
      </c>
      <c r="B3" s="87" t="s">
        <v>143</v>
      </c>
      <c r="C3" s="87">
        <v>4</v>
      </c>
      <c r="D3" s="86" t="s">
        <v>654</v>
      </c>
      <c r="E3" s="15" t="s">
        <v>284</v>
      </c>
      <c r="F3" s="2">
        <v>1</v>
      </c>
      <c r="G3" s="2">
        <v>1</v>
      </c>
      <c r="H3" s="2">
        <v>1</v>
      </c>
      <c r="I3" s="2">
        <v>1</v>
      </c>
      <c r="J3" s="2">
        <v>1</v>
      </c>
      <c r="K3">
        <f>_xlfn.MODE.SNGL(F3:J3)</f>
        <v>1</v>
      </c>
    </row>
    <row r="4" spans="1:11" ht="160.5" customHeight="1">
      <c r="A4" s="88"/>
      <c r="B4" s="87"/>
      <c r="C4" s="87"/>
      <c r="D4" s="86"/>
      <c r="E4" s="3" t="s">
        <v>285</v>
      </c>
      <c r="F4" s="2">
        <v>1</v>
      </c>
      <c r="G4" s="2">
        <v>1</v>
      </c>
      <c r="H4" s="2">
        <v>1</v>
      </c>
      <c r="I4" s="2">
        <v>1</v>
      </c>
      <c r="J4" s="2">
        <v>1</v>
      </c>
      <c r="K4">
        <f t="shared" ref="K4:K35" si="0">_xlfn.MODE.SNGL(F4:J4)</f>
        <v>1</v>
      </c>
    </row>
    <row r="5" spans="1:11" ht="160.5" customHeight="1">
      <c r="A5" s="88">
        <v>2</v>
      </c>
      <c r="B5" s="87" t="s">
        <v>129</v>
      </c>
      <c r="C5" s="87">
        <v>3</v>
      </c>
      <c r="D5" s="86" t="s">
        <v>655</v>
      </c>
      <c r="E5" s="3" t="s">
        <v>286</v>
      </c>
      <c r="F5" s="2">
        <v>1</v>
      </c>
      <c r="G5" s="2">
        <v>1</v>
      </c>
      <c r="H5" s="2">
        <v>1</v>
      </c>
      <c r="I5" s="2">
        <v>1</v>
      </c>
      <c r="J5" s="2">
        <v>1</v>
      </c>
      <c r="K5">
        <f t="shared" si="0"/>
        <v>1</v>
      </c>
    </row>
    <row r="6" spans="1:11" ht="55.2">
      <c r="A6" s="88"/>
      <c r="B6" s="87"/>
      <c r="C6" s="87"/>
      <c r="D6" s="86"/>
      <c r="E6" s="15" t="s">
        <v>287</v>
      </c>
      <c r="F6" s="2">
        <v>1</v>
      </c>
      <c r="G6" s="2">
        <v>1</v>
      </c>
      <c r="H6" s="2">
        <v>1</v>
      </c>
      <c r="I6" s="2">
        <v>1</v>
      </c>
      <c r="J6" s="2">
        <v>1</v>
      </c>
      <c r="K6">
        <f t="shared" si="0"/>
        <v>1</v>
      </c>
    </row>
    <row r="7" spans="1:11" ht="96.6">
      <c r="A7" s="2">
        <v>3</v>
      </c>
      <c r="B7" s="24" t="s">
        <v>143</v>
      </c>
      <c r="C7" s="24">
        <v>4</v>
      </c>
      <c r="D7" s="16" t="s">
        <v>656</v>
      </c>
      <c r="E7" s="15" t="s">
        <v>288</v>
      </c>
      <c r="F7" s="2">
        <v>1</v>
      </c>
      <c r="G7" s="2">
        <v>1</v>
      </c>
      <c r="H7" s="2">
        <v>1</v>
      </c>
      <c r="I7" s="2">
        <v>1</v>
      </c>
      <c r="J7" s="2">
        <v>1</v>
      </c>
      <c r="K7">
        <f t="shared" si="0"/>
        <v>1</v>
      </c>
    </row>
    <row r="8" spans="1:11" ht="135">
      <c r="A8" s="2">
        <v>4</v>
      </c>
      <c r="B8" s="24" t="s">
        <v>129</v>
      </c>
      <c r="C8" s="24">
        <v>3</v>
      </c>
      <c r="D8" s="17" t="s">
        <v>15</v>
      </c>
      <c r="E8" s="16" t="s">
        <v>289</v>
      </c>
      <c r="F8" s="2">
        <v>1</v>
      </c>
      <c r="G8" s="2">
        <v>1</v>
      </c>
      <c r="H8" s="2">
        <v>1</v>
      </c>
      <c r="I8" s="2">
        <v>1</v>
      </c>
      <c r="J8" s="2">
        <v>1</v>
      </c>
      <c r="K8">
        <f t="shared" si="0"/>
        <v>1</v>
      </c>
    </row>
    <row r="9" spans="1:11" ht="354.75" customHeight="1">
      <c r="A9" s="88">
        <v>5</v>
      </c>
      <c r="B9" s="87" t="s">
        <v>143</v>
      </c>
      <c r="C9" s="24">
        <v>4</v>
      </c>
      <c r="D9" s="90" t="s">
        <v>657</v>
      </c>
      <c r="E9" s="17" t="s">
        <v>290</v>
      </c>
      <c r="F9" s="2">
        <v>1</v>
      </c>
      <c r="G9" s="2">
        <v>1</v>
      </c>
      <c r="H9" s="2">
        <v>1</v>
      </c>
      <c r="I9" s="2">
        <v>1</v>
      </c>
      <c r="J9" s="2">
        <v>1</v>
      </c>
      <c r="K9">
        <f t="shared" si="0"/>
        <v>1</v>
      </c>
    </row>
    <row r="10" spans="1:11" ht="150">
      <c r="A10" s="88"/>
      <c r="B10" s="87"/>
      <c r="C10" s="24">
        <v>4</v>
      </c>
      <c r="D10" s="90"/>
      <c r="E10" s="17" t="s">
        <v>291</v>
      </c>
      <c r="F10" s="2">
        <v>1</v>
      </c>
      <c r="G10" s="2">
        <v>1</v>
      </c>
      <c r="H10" s="2">
        <v>1</v>
      </c>
      <c r="I10" s="2">
        <v>1</v>
      </c>
      <c r="J10" s="2">
        <v>1</v>
      </c>
      <c r="K10">
        <f t="shared" si="0"/>
        <v>1</v>
      </c>
    </row>
    <row r="11" spans="1:11" ht="150">
      <c r="A11" s="2">
        <v>6</v>
      </c>
      <c r="B11" s="24" t="s">
        <v>129</v>
      </c>
      <c r="C11" s="24">
        <v>3</v>
      </c>
      <c r="D11" s="17" t="s">
        <v>19</v>
      </c>
      <c r="E11" s="17" t="s">
        <v>292</v>
      </c>
      <c r="F11" s="2">
        <v>2</v>
      </c>
      <c r="G11" s="2">
        <v>2</v>
      </c>
      <c r="H11" s="2">
        <v>1</v>
      </c>
      <c r="I11" s="2">
        <v>1</v>
      </c>
      <c r="J11" s="2">
        <v>1</v>
      </c>
      <c r="K11">
        <f t="shared" si="0"/>
        <v>1</v>
      </c>
    </row>
    <row r="12" spans="1:11" ht="120">
      <c r="A12" s="2">
        <v>7</v>
      </c>
      <c r="B12" s="24" t="s">
        <v>129</v>
      </c>
      <c r="C12" s="24">
        <v>3</v>
      </c>
      <c r="D12" s="17" t="s">
        <v>20</v>
      </c>
      <c r="E12" s="17" t="s">
        <v>293</v>
      </c>
      <c r="F12" s="2">
        <v>4</v>
      </c>
      <c r="G12" s="2">
        <v>3</v>
      </c>
      <c r="H12" s="2">
        <v>2</v>
      </c>
      <c r="I12" s="2">
        <v>4</v>
      </c>
      <c r="J12" s="2">
        <v>4</v>
      </c>
      <c r="K12">
        <f t="shared" si="0"/>
        <v>4</v>
      </c>
    </row>
    <row r="13" spans="1:11" ht="75">
      <c r="A13" s="88">
        <v>8</v>
      </c>
      <c r="B13" s="87" t="s">
        <v>143</v>
      </c>
      <c r="C13" s="24">
        <v>4</v>
      </c>
      <c r="D13" s="90" t="s">
        <v>21</v>
      </c>
      <c r="E13" s="17" t="s">
        <v>294</v>
      </c>
      <c r="F13" s="2">
        <v>1</v>
      </c>
      <c r="G13" s="2">
        <v>1</v>
      </c>
      <c r="H13" s="2">
        <v>1</v>
      </c>
      <c r="I13" s="2">
        <v>1</v>
      </c>
      <c r="J13" s="2">
        <v>1</v>
      </c>
      <c r="K13">
        <f t="shared" si="0"/>
        <v>1</v>
      </c>
    </row>
    <row r="14" spans="1:11" ht="75">
      <c r="A14" s="88"/>
      <c r="B14" s="87"/>
      <c r="C14" s="24">
        <v>4</v>
      </c>
      <c r="D14" s="90"/>
      <c r="E14" s="17" t="s">
        <v>295</v>
      </c>
      <c r="F14" s="2">
        <v>1</v>
      </c>
      <c r="G14" s="2">
        <v>1</v>
      </c>
      <c r="H14" s="2">
        <v>1</v>
      </c>
      <c r="I14" s="2">
        <v>1</v>
      </c>
      <c r="J14" s="2">
        <v>1</v>
      </c>
      <c r="K14">
        <f t="shared" si="0"/>
        <v>1</v>
      </c>
    </row>
    <row r="15" spans="1:11" ht="120">
      <c r="A15" s="88">
        <v>9</v>
      </c>
      <c r="B15" s="87" t="s">
        <v>129</v>
      </c>
      <c r="C15" s="24">
        <v>3</v>
      </c>
      <c r="D15" s="90" t="s">
        <v>23</v>
      </c>
      <c r="E15" s="17" t="s">
        <v>296</v>
      </c>
      <c r="F15" s="2">
        <v>1</v>
      </c>
      <c r="G15" s="2">
        <v>1</v>
      </c>
      <c r="H15" s="2">
        <v>1</v>
      </c>
      <c r="I15" s="2">
        <v>1</v>
      </c>
      <c r="J15" s="2">
        <v>1</v>
      </c>
      <c r="K15">
        <f t="shared" si="0"/>
        <v>1</v>
      </c>
    </row>
    <row r="16" spans="1:11" ht="90">
      <c r="A16" s="88"/>
      <c r="B16" s="87"/>
      <c r="C16" s="24">
        <v>3</v>
      </c>
      <c r="D16" s="90"/>
      <c r="E16" s="17" t="s">
        <v>297</v>
      </c>
      <c r="F16" s="2">
        <v>1</v>
      </c>
      <c r="G16" s="2">
        <v>1</v>
      </c>
      <c r="H16" s="2">
        <v>1</v>
      </c>
      <c r="I16" s="2">
        <v>1</v>
      </c>
      <c r="J16" s="2">
        <v>1</v>
      </c>
      <c r="K16">
        <f t="shared" si="0"/>
        <v>1</v>
      </c>
    </row>
    <row r="17" spans="1:11" ht="231" customHeight="1">
      <c r="A17" s="88">
        <v>10</v>
      </c>
      <c r="B17" s="87" t="s">
        <v>131</v>
      </c>
      <c r="C17" s="24">
        <v>1</v>
      </c>
      <c r="D17" s="90" t="s">
        <v>24</v>
      </c>
      <c r="E17" s="17" t="s">
        <v>298</v>
      </c>
      <c r="F17" s="2">
        <v>4</v>
      </c>
      <c r="G17" s="2">
        <v>4</v>
      </c>
      <c r="H17" s="2">
        <v>4</v>
      </c>
      <c r="I17" s="2">
        <v>4</v>
      </c>
      <c r="J17" s="2">
        <v>4</v>
      </c>
      <c r="K17">
        <f t="shared" si="0"/>
        <v>4</v>
      </c>
    </row>
    <row r="18" spans="1:11" ht="75">
      <c r="A18" s="88"/>
      <c r="B18" s="87"/>
      <c r="C18" s="24">
        <v>1</v>
      </c>
      <c r="D18" s="90"/>
      <c r="E18" s="17" t="s">
        <v>299</v>
      </c>
      <c r="F18" s="2">
        <v>4</v>
      </c>
      <c r="G18" s="2">
        <v>4</v>
      </c>
      <c r="H18" s="2">
        <v>4</v>
      </c>
      <c r="I18" s="2">
        <v>4</v>
      </c>
      <c r="J18" s="2">
        <v>4</v>
      </c>
      <c r="K18">
        <f t="shared" si="0"/>
        <v>4</v>
      </c>
    </row>
    <row r="19" spans="1:11" ht="90">
      <c r="A19" s="88"/>
      <c r="B19" s="87"/>
      <c r="C19" s="24">
        <v>1</v>
      </c>
      <c r="D19" s="90"/>
      <c r="E19" s="17" t="s">
        <v>300</v>
      </c>
      <c r="F19" s="2">
        <v>4</v>
      </c>
      <c r="G19" s="2">
        <v>4</v>
      </c>
      <c r="H19" s="2">
        <v>4</v>
      </c>
      <c r="I19" s="2">
        <v>4</v>
      </c>
      <c r="J19" s="2">
        <v>4</v>
      </c>
      <c r="K19">
        <f t="shared" si="0"/>
        <v>4</v>
      </c>
    </row>
    <row r="20" spans="1:11" ht="315">
      <c r="A20" s="2">
        <v>11</v>
      </c>
      <c r="B20" s="24" t="s">
        <v>129</v>
      </c>
      <c r="C20" s="24">
        <v>3</v>
      </c>
      <c r="D20" s="17" t="s">
        <v>26</v>
      </c>
      <c r="E20" s="17" t="s">
        <v>301</v>
      </c>
      <c r="F20" s="2">
        <v>2</v>
      </c>
      <c r="G20" s="2">
        <v>2</v>
      </c>
      <c r="H20" s="2">
        <v>1</v>
      </c>
      <c r="I20" s="2">
        <v>2</v>
      </c>
      <c r="J20" s="2">
        <v>1</v>
      </c>
      <c r="K20">
        <f t="shared" si="0"/>
        <v>2</v>
      </c>
    </row>
    <row r="21" spans="1:11" ht="105">
      <c r="A21" s="88">
        <v>12</v>
      </c>
      <c r="B21" s="87" t="s">
        <v>143</v>
      </c>
      <c r="C21" s="24">
        <v>4</v>
      </c>
      <c r="D21" s="89" t="s">
        <v>28</v>
      </c>
      <c r="E21" s="17" t="s">
        <v>302</v>
      </c>
      <c r="F21" s="2">
        <v>3</v>
      </c>
      <c r="G21" s="2">
        <v>3</v>
      </c>
      <c r="H21" s="2">
        <v>3</v>
      </c>
      <c r="I21" s="2">
        <v>3</v>
      </c>
      <c r="J21" s="2">
        <v>3</v>
      </c>
      <c r="K21">
        <f t="shared" si="0"/>
        <v>3</v>
      </c>
    </row>
    <row r="22" spans="1:11" ht="75">
      <c r="A22" s="88"/>
      <c r="B22" s="87"/>
      <c r="C22" s="24">
        <v>4</v>
      </c>
      <c r="D22" s="89"/>
      <c r="E22" s="17" t="s">
        <v>303</v>
      </c>
      <c r="F22" s="2">
        <v>3</v>
      </c>
      <c r="G22" s="2">
        <v>3</v>
      </c>
      <c r="H22" s="2">
        <v>3</v>
      </c>
      <c r="I22" s="2">
        <v>3</v>
      </c>
      <c r="J22" s="2">
        <v>3</v>
      </c>
      <c r="K22">
        <f t="shared" si="0"/>
        <v>3</v>
      </c>
    </row>
    <row r="23" spans="1:11" ht="82.8">
      <c r="A23" s="88">
        <v>13</v>
      </c>
      <c r="B23" s="87" t="s">
        <v>125</v>
      </c>
      <c r="C23" s="24">
        <v>2</v>
      </c>
      <c r="D23" s="86" t="s">
        <v>30</v>
      </c>
      <c r="E23" s="16" t="s">
        <v>304</v>
      </c>
      <c r="F23" s="2">
        <v>3</v>
      </c>
      <c r="G23" s="2">
        <v>3</v>
      </c>
      <c r="H23" s="2">
        <v>3</v>
      </c>
      <c r="I23" s="2">
        <v>3</v>
      </c>
      <c r="J23" s="2">
        <v>3</v>
      </c>
      <c r="K23">
        <f t="shared" si="0"/>
        <v>3</v>
      </c>
    </row>
    <row r="24" spans="1:11" ht="55.2">
      <c r="A24" s="88"/>
      <c r="B24" s="87"/>
      <c r="C24" s="24">
        <v>2</v>
      </c>
      <c r="D24" s="86"/>
      <c r="E24" s="16" t="s">
        <v>305</v>
      </c>
      <c r="F24" s="2">
        <v>3</v>
      </c>
      <c r="G24" s="2">
        <v>3</v>
      </c>
      <c r="H24" s="2">
        <v>3</v>
      </c>
      <c r="I24" s="2">
        <v>3</v>
      </c>
      <c r="J24" s="2">
        <v>3</v>
      </c>
      <c r="K24">
        <f t="shared" si="0"/>
        <v>3</v>
      </c>
    </row>
    <row r="25" spans="1:11" ht="96.6">
      <c r="A25" s="2">
        <v>14</v>
      </c>
      <c r="B25" s="24" t="s">
        <v>129</v>
      </c>
      <c r="C25" s="24">
        <v>3</v>
      </c>
      <c r="D25" s="15" t="s">
        <v>31</v>
      </c>
      <c r="E25" s="15" t="s">
        <v>306</v>
      </c>
      <c r="F25" s="2">
        <v>2</v>
      </c>
      <c r="G25" s="2">
        <v>2</v>
      </c>
      <c r="H25" s="2">
        <v>2</v>
      </c>
      <c r="I25" s="2">
        <v>2</v>
      </c>
      <c r="J25" s="2">
        <v>2</v>
      </c>
      <c r="K25">
        <f t="shared" si="0"/>
        <v>2</v>
      </c>
    </row>
    <row r="26" spans="1:11" ht="55.2">
      <c r="A26" s="2">
        <v>15</v>
      </c>
      <c r="B26" s="24" t="s">
        <v>129</v>
      </c>
      <c r="C26" s="24">
        <v>3</v>
      </c>
      <c r="D26" s="15" t="s">
        <v>34</v>
      </c>
      <c r="E26" s="15" t="s">
        <v>307</v>
      </c>
      <c r="F26" s="2">
        <v>2</v>
      </c>
      <c r="G26" s="2">
        <v>2</v>
      </c>
      <c r="H26" s="2">
        <v>2</v>
      </c>
      <c r="I26" s="2">
        <v>2</v>
      </c>
      <c r="J26" s="2">
        <v>2</v>
      </c>
      <c r="K26">
        <f t="shared" si="0"/>
        <v>2</v>
      </c>
    </row>
    <row r="27" spans="1:11" ht="55.2">
      <c r="A27" s="2">
        <v>16</v>
      </c>
      <c r="B27" s="24" t="s">
        <v>129</v>
      </c>
      <c r="C27" s="24">
        <v>3</v>
      </c>
      <c r="D27" s="15" t="s">
        <v>35</v>
      </c>
      <c r="E27" s="15" t="s">
        <v>308</v>
      </c>
      <c r="F27" s="2">
        <v>2</v>
      </c>
      <c r="G27" s="2">
        <v>2</v>
      </c>
      <c r="H27" s="2">
        <v>2</v>
      </c>
      <c r="I27" s="2">
        <v>2</v>
      </c>
      <c r="J27" s="2">
        <v>2</v>
      </c>
      <c r="K27">
        <f t="shared" si="0"/>
        <v>2</v>
      </c>
    </row>
    <row r="28" spans="1:11" ht="200.25" customHeight="1">
      <c r="A28" s="88">
        <v>17</v>
      </c>
      <c r="B28" s="87" t="s">
        <v>143</v>
      </c>
      <c r="C28" s="24">
        <v>4</v>
      </c>
      <c r="D28" s="86" t="s">
        <v>658</v>
      </c>
      <c r="E28" s="15" t="s">
        <v>309</v>
      </c>
      <c r="F28" s="2">
        <v>2</v>
      </c>
      <c r="G28" s="2">
        <v>3</v>
      </c>
      <c r="H28" s="2">
        <v>2</v>
      </c>
      <c r="I28" s="2">
        <v>2</v>
      </c>
      <c r="J28" s="2">
        <v>2</v>
      </c>
      <c r="K28">
        <f t="shared" si="0"/>
        <v>2</v>
      </c>
    </row>
    <row r="29" spans="1:11" ht="55.2">
      <c r="A29" s="88"/>
      <c r="B29" s="87"/>
      <c r="C29" s="24">
        <v>4</v>
      </c>
      <c r="D29" s="86"/>
      <c r="E29" s="15" t="s">
        <v>310</v>
      </c>
      <c r="F29" s="2">
        <v>2</v>
      </c>
      <c r="G29" s="2">
        <v>3</v>
      </c>
      <c r="H29" s="2">
        <v>2</v>
      </c>
      <c r="I29" s="2">
        <v>2</v>
      </c>
      <c r="J29" s="2">
        <v>2</v>
      </c>
      <c r="K29">
        <f t="shared" si="0"/>
        <v>2</v>
      </c>
    </row>
    <row r="30" spans="1:11" ht="110.4">
      <c r="A30" s="88">
        <v>18</v>
      </c>
      <c r="B30" s="87" t="s">
        <v>129</v>
      </c>
      <c r="C30" s="24">
        <v>3</v>
      </c>
      <c r="D30" s="86" t="s">
        <v>38</v>
      </c>
      <c r="E30" s="15" t="s">
        <v>311</v>
      </c>
      <c r="F30" s="2">
        <v>3</v>
      </c>
      <c r="G30" s="2">
        <v>2</v>
      </c>
      <c r="H30" s="2">
        <v>3</v>
      </c>
      <c r="I30" s="2">
        <v>3</v>
      </c>
      <c r="J30" s="2">
        <v>3</v>
      </c>
      <c r="K30">
        <f t="shared" si="0"/>
        <v>3</v>
      </c>
    </row>
    <row r="31" spans="1:11" ht="69">
      <c r="A31" s="88"/>
      <c r="B31" s="87"/>
      <c r="C31" s="24">
        <v>3</v>
      </c>
      <c r="D31" s="86"/>
      <c r="E31" s="15" t="s">
        <v>312</v>
      </c>
      <c r="F31" s="2">
        <v>3</v>
      </c>
      <c r="G31" s="2">
        <v>2</v>
      </c>
      <c r="H31" s="2">
        <v>3</v>
      </c>
      <c r="I31" s="2">
        <v>3</v>
      </c>
      <c r="J31" s="2">
        <v>3</v>
      </c>
      <c r="K31">
        <f t="shared" si="0"/>
        <v>3</v>
      </c>
    </row>
    <row r="32" spans="1:11" ht="151.80000000000001">
      <c r="A32" s="88">
        <v>19</v>
      </c>
      <c r="B32" s="87" t="s">
        <v>143</v>
      </c>
      <c r="C32" s="24">
        <v>4</v>
      </c>
      <c r="D32" s="86" t="s">
        <v>659</v>
      </c>
      <c r="E32" s="15" t="s">
        <v>313</v>
      </c>
      <c r="F32" s="2">
        <v>4</v>
      </c>
      <c r="G32" s="2">
        <v>3</v>
      </c>
      <c r="H32" s="2">
        <v>4</v>
      </c>
      <c r="I32" s="2">
        <v>4</v>
      </c>
      <c r="J32" s="2">
        <v>4</v>
      </c>
      <c r="K32">
        <f t="shared" si="0"/>
        <v>4</v>
      </c>
    </row>
    <row r="33" spans="1:11" ht="69">
      <c r="A33" s="88"/>
      <c r="B33" s="87"/>
      <c r="C33" s="24">
        <v>4</v>
      </c>
      <c r="D33" s="86"/>
      <c r="E33" s="15" t="s">
        <v>314</v>
      </c>
      <c r="F33" s="2">
        <v>4</v>
      </c>
      <c r="G33" s="2">
        <v>3</v>
      </c>
      <c r="H33" s="2">
        <v>4</v>
      </c>
      <c r="I33" s="2">
        <v>4</v>
      </c>
      <c r="J33" s="2">
        <v>4</v>
      </c>
      <c r="K33">
        <f t="shared" si="0"/>
        <v>4</v>
      </c>
    </row>
    <row r="34" spans="1:11" ht="55.2">
      <c r="A34" s="88"/>
      <c r="B34" s="87"/>
      <c r="C34" s="24">
        <v>4</v>
      </c>
      <c r="D34" s="86"/>
      <c r="E34" s="15" t="s">
        <v>315</v>
      </c>
      <c r="F34" s="2">
        <v>4</v>
      </c>
      <c r="G34" s="2">
        <v>3</v>
      </c>
      <c r="H34" s="2">
        <v>3</v>
      </c>
      <c r="I34" s="2">
        <v>4</v>
      </c>
      <c r="J34" s="2">
        <v>4</v>
      </c>
      <c r="K34">
        <f t="shared" si="0"/>
        <v>4</v>
      </c>
    </row>
    <row r="35" spans="1:11" ht="111">
      <c r="A35" s="51">
        <v>20</v>
      </c>
      <c r="B35" s="52" t="s">
        <v>125</v>
      </c>
      <c r="C35" s="52">
        <v>2</v>
      </c>
      <c r="D35" s="53" t="s">
        <v>660</v>
      </c>
      <c r="E35" s="54" t="s">
        <v>661</v>
      </c>
      <c r="F35" s="51">
        <v>1</v>
      </c>
      <c r="G35" s="51">
        <v>1</v>
      </c>
      <c r="H35" s="51">
        <v>1</v>
      </c>
      <c r="I35" s="51">
        <v>1</v>
      </c>
      <c r="J35" s="51">
        <v>1</v>
      </c>
      <c r="K35">
        <f t="shared" si="0"/>
        <v>1</v>
      </c>
    </row>
    <row r="36" spans="1:11">
      <c r="A36" s="55"/>
      <c r="B36" s="55"/>
      <c r="C36" s="55"/>
      <c r="D36" s="55"/>
      <c r="E36" s="56"/>
      <c r="F36" s="55"/>
      <c r="G36" s="55"/>
      <c r="H36" s="55"/>
      <c r="I36" s="55"/>
      <c r="J36" s="55"/>
      <c r="K36" s="55"/>
    </row>
    <row r="37" spans="1:11">
      <c r="A37" s="58"/>
      <c r="B37" s="58"/>
      <c r="C37" s="58"/>
      <c r="D37" s="58"/>
      <c r="E37" s="59"/>
      <c r="F37" s="58"/>
      <c r="G37" s="58"/>
      <c r="H37" s="58"/>
      <c r="I37" s="58"/>
      <c r="J37" s="58"/>
      <c r="K37" s="58"/>
    </row>
    <row r="38" spans="1:11" ht="72">
      <c r="C38">
        <v>1</v>
      </c>
      <c r="E38" s="23" t="s">
        <v>406</v>
      </c>
      <c r="H38">
        <v>1</v>
      </c>
    </row>
    <row r="39" spans="1:11" ht="43.2">
      <c r="C39">
        <v>1</v>
      </c>
      <c r="E39" s="23" t="s">
        <v>407</v>
      </c>
      <c r="H39">
        <v>1</v>
      </c>
    </row>
    <row r="40" spans="1:11" ht="28.8">
      <c r="C40">
        <v>1</v>
      </c>
      <c r="E40" s="23" t="s">
        <v>408</v>
      </c>
      <c r="H40">
        <v>1</v>
      </c>
    </row>
    <row r="41" spans="1:11" ht="28.8">
      <c r="C41">
        <v>1</v>
      </c>
      <c r="E41" s="23" t="s">
        <v>409</v>
      </c>
      <c r="H41">
        <v>1</v>
      </c>
    </row>
    <row r="42" spans="1:11" ht="43.2">
      <c r="C42">
        <v>1</v>
      </c>
      <c r="E42" s="23" t="s">
        <v>410</v>
      </c>
      <c r="H42">
        <v>1</v>
      </c>
    </row>
    <row r="43" spans="1:11" ht="28.8">
      <c r="C43">
        <v>1</v>
      </c>
      <c r="E43" s="23" t="s">
        <v>411</v>
      </c>
      <c r="H43">
        <v>1</v>
      </c>
    </row>
    <row r="44" spans="1:11" ht="43.2">
      <c r="C44">
        <v>1</v>
      </c>
      <c r="E44" s="23" t="s">
        <v>412</v>
      </c>
      <c r="H44">
        <v>1</v>
      </c>
    </row>
    <row r="45" spans="1:11" ht="28.8">
      <c r="C45">
        <v>1</v>
      </c>
      <c r="E45" s="23" t="s">
        <v>413</v>
      </c>
      <c r="H45">
        <v>1</v>
      </c>
    </row>
    <row r="46" spans="1:11" ht="43.2">
      <c r="C46">
        <v>1</v>
      </c>
      <c r="E46" s="23" t="s">
        <v>414</v>
      </c>
      <c r="H46">
        <v>1</v>
      </c>
    </row>
    <row r="47" spans="1:11" ht="43.2">
      <c r="C47">
        <v>1</v>
      </c>
      <c r="E47" s="23" t="s">
        <v>415</v>
      </c>
      <c r="H47">
        <v>1</v>
      </c>
    </row>
    <row r="48" spans="1:11" ht="43.2">
      <c r="C48">
        <v>1</v>
      </c>
      <c r="E48" s="23" t="s">
        <v>416</v>
      </c>
      <c r="H48">
        <v>1</v>
      </c>
    </row>
    <row r="49" spans="3:8" ht="43.2">
      <c r="C49">
        <v>1</v>
      </c>
      <c r="E49" s="23" t="s">
        <v>417</v>
      </c>
      <c r="H49">
        <v>1</v>
      </c>
    </row>
    <row r="50" spans="3:8" ht="43.2">
      <c r="C50">
        <v>1</v>
      </c>
      <c r="E50" s="23" t="s">
        <v>418</v>
      </c>
      <c r="H50">
        <v>1</v>
      </c>
    </row>
    <row r="51" spans="3:8" ht="57.6">
      <c r="C51">
        <v>1</v>
      </c>
      <c r="E51" s="23" t="s">
        <v>419</v>
      </c>
      <c r="H51">
        <v>1</v>
      </c>
    </row>
    <row r="52" spans="3:8" ht="43.2">
      <c r="C52">
        <v>1</v>
      </c>
      <c r="E52" s="23" t="s">
        <v>420</v>
      </c>
      <c r="H52">
        <v>1</v>
      </c>
    </row>
    <row r="53" spans="3:8" ht="43.2">
      <c r="C53">
        <v>1</v>
      </c>
      <c r="E53" s="23" t="s">
        <v>421</v>
      </c>
      <c r="H53">
        <v>1</v>
      </c>
    </row>
    <row r="54" spans="3:8" ht="43.2">
      <c r="C54">
        <v>1</v>
      </c>
      <c r="E54" s="23" t="s">
        <v>422</v>
      </c>
      <c r="H54">
        <v>1</v>
      </c>
    </row>
    <row r="55" spans="3:8" ht="43.2">
      <c r="C55">
        <v>1</v>
      </c>
      <c r="E55" s="23" t="s">
        <v>423</v>
      </c>
      <c r="H55">
        <v>1</v>
      </c>
    </row>
    <row r="56" spans="3:8" ht="57.6">
      <c r="C56">
        <v>1</v>
      </c>
      <c r="E56" s="23" t="s">
        <v>424</v>
      </c>
      <c r="H56">
        <v>1</v>
      </c>
    </row>
    <row r="57" spans="3:8" ht="43.2">
      <c r="C57">
        <v>1</v>
      </c>
      <c r="E57" s="23" t="s">
        <v>425</v>
      </c>
      <c r="H57">
        <v>1</v>
      </c>
    </row>
    <row r="58" spans="3:8" ht="57.6">
      <c r="C58">
        <v>1</v>
      </c>
      <c r="E58" s="23" t="s">
        <v>426</v>
      </c>
      <c r="H58">
        <v>1</v>
      </c>
    </row>
    <row r="59" spans="3:8" ht="57.6">
      <c r="C59">
        <v>1</v>
      </c>
      <c r="E59" s="23" t="s">
        <v>427</v>
      </c>
      <c r="H59">
        <v>1</v>
      </c>
    </row>
    <row r="60" spans="3:8" ht="28.8">
      <c r="C60">
        <v>1</v>
      </c>
      <c r="E60" s="23" t="s">
        <v>428</v>
      </c>
      <c r="H60">
        <v>1</v>
      </c>
    </row>
    <row r="61" spans="3:8" ht="43.2">
      <c r="C61">
        <v>1</v>
      </c>
      <c r="E61" s="23" t="s">
        <v>429</v>
      </c>
      <c r="H61">
        <v>2</v>
      </c>
    </row>
    <row r="62" spans="3:8" ht="57.6">
      <c r="C62">
        <v>1</v>
      </c>
      <c r="E62" s="23" t="s">
        <v>430</v>
      </c>
      <c r="H62">
        <v>2</v>
      </c>
    </row>
    <row r="63" spans="3:8" ht="57.6">
      <c r="C63">
        <v>1</v>
      </c>
      <c r="E63" s="23" t="s">
        <v>431</v>
      </c>
      <c r="H63">
        <v>2</v>
      </c>
    </row>
    <row r="64" spans="3:8" ht="28.8">
      <c r="C64">
        <v>1</v>
      </c>
      <c r="E64" s="23" t="s">
        <v>432</v>
      </c>
      <c r="H64">
        <v>2</v>
      </c>
    </row>
    <row r="65" spans="3:8" ht="28.8">
      <c r="C65">
        <v>1</v>
      </c>
      <c r="E65" s="23" t="s">
        <v>433</v>
      </c>
      <c r="H65">
        <v>2</v>
      </c>
    </row>
    <row r="66" spans="3:8" ht="28.8">
      <c r="C66">
        <v>1</v>
      </c>
      <c r="E66" s="23" t="s">
        <v>434</v>
      </c>
      <c r="H66">
        <v>2</v>
      </c>
    </row>
    <row r="67" spans="3:8" ht="28.8">
      <c r="C67">
        <v>1</v>
      </c>
      <c r="E67" s="23" t="s">
        <v>435</v>
      </c>
      <c r="H67">
        <v>2</v>
      </c>
    </row>
    <row r="68" spans="3:8" ht="28.8">
      <c r="C68">
        <v>1</v>
      </c>
      <c r="E68" s="23" t="s">
        <v>436</v>
      </c>
      <c r="H68">
        <v>2</v>
      </c>
    </row>
    <row r="69" spans="3:8" ht="28.8">
      <c r="C69">
        <v>1</v>
      </c>
      <c r="E69" s="23" t="s">
        <v>437</v>
      </c>
      <c r="H69">
        <v>2</v>
      </c>
    </row>
    <row r="70" spans="3:8" ht="57.6">
      <c r="C70">
        <v>1</v>
      </c>
      <c r="E70" s="23" t="s">
        <v>438</v>
      </c>
      <c r="H70">
        <v>2</v>
      </c>
    </row>
    <row r="71" spans="3:8" ht="43.2">
      <c r="C71">
        <v>1</v>
      </c>
      <c r="E71" s="23" t="s">
        <v>439</v>
      </c>
      <c r="H71">
        <v>2</v>
      </c>
    </row>
    <row r="72" spans="3:8" ht="102.75" customHeight="1">
      <c r="C72">
        <v>1</v>
      </c>
      <c r="E72" s="23" t="s">
        <v>440</v>
      </c>
      <c r="H72">
        <v>2</v>
      </c>
    </row>
    <row r="73" spans="3:8" ht="43.2">
      <c r="C73">
        <v>1</v>
      </c>
      <c r="E73" s="23" t="s">
        <v>441</v>
      </c>
      <c r="H73">
        <v>2</v>
      </c>
    </row>
    <row r="74" spans="3:8" ht="57.6">
      <c r="C74">
        <v>1</v>
      </c>
      <c r="E74" s="23" t="s">
        <v>442</v>
      </c>
      <c r="H74">
        <v>2</v>
      </c>
    </row>
    <row r="75" spans="3:8" ht="43.2">
      <c r="C75">
        <v>1</v>
      </c>
      <c r="E75" s="23" t="s">
        <v>443</v>
      </c>
      <c r="H75">
        <v>2</v>
      </c>
    </row>
    <row r="76" spans="3:8" ht="43.2">
      <c r="C76">
        <v>1</v>
      </c>
      <c r="E76" s="23" t="s">
        <v>444</v>
      </c>
      <c r="H76">
        <v>2</v>
      </c>
    </row>
    <row r="77" spans="3:8" ht="43.2">
      <c r="C77">
        <v>1</v>
      </c>
      <c r="E77" s="23" t="s">
        <v>445</v>
      </c>
      <c r="H77">
        <v>2</v>
      </c>
    </row>
    <row r="78" spans="3:8" ht="43.2">
      <c r="C78">
        <v>1</v>
      </c>
      <c r="E78" s="23" t="s">
        <v>446</v>
      </c>
      <c r="H78">
        <v>2</v>
      </c>
    </row>
    <row r="79" spans="3:8" ht="43.2">
      <c r="C79">
        <v>1</v>
      </c>
      <c r="E79" s="23" t="s">
        <v>447</v>
      </c>
      <c r="H79">
        <v>2</v>
      </c>
    </row>
    <row r="80" spans="3:8" ht="72">
      <c r="C80">
        <v>1</v>
      </c>
      <c r="E80" s="23" t="s">
        <v>448</v>
      </c>
      <c r="H80">
        <v>2</v>
      </c>
    </row>
    <row r="81" spans="3:8" ht="43.2">
      <c r="C81">
        <v>1</v>
      </c>
      <c r="E81" s="23" t="s">
        <v>449</v>
      </c>
      <c r="H81">
        <v>2</v>
      </c>
    </row>
    <row r="82" spans="3:8" ht="43.2">
      <c r="C82">
        <v>1</v>
      </c>
      <c r="E82" s="23" t="s">
        <v>450</v>
      </c>
      <c r="H82">
        <v>2</v>
      </c>
    </row>
    <row r="83" spans="3:8" ht="57.6">
      <c r="C83">
        <v>1</v>
      </c>
      <c r="E83" s="23" t="s">
        <v>451</v>
      </c>
      <c r="H83">
        <v>2</v>
      </c>
    </row>
    <row r="84" spans="3:8" ht="72">
      <c r="C84">
        <v>1</v>
      </c>
      <c r="E84" s="23" t="s">
        <v>452</v>
      </c>
      <c r="H84">
        <v>2</v>
      </c>
    </row>
    <row r="85" spans="3:8" ht="72">
      <c r="C85">
        <v>1</v>
      </c>
      <c r="E85" s="23" t="s">
        <v>453</v>
      </c>
      <c r="H85">
        <v>3</v>
      </c>
    </row>
    <row r="86" spans="3:8" ht="57.6">
      <c r="C86">
        <v>1</v>
      </c>
      <c r="E86" s="23" t="s">
        <v>454</v>
      </c>
      <c r="H86">
        <v>3</v>
      </c>
    </row>
    <row r="87" spans="3:8" ht="72">
      <c r="C87">
        <v>1</v>
      </c>
      <c r="E87" s="23" t="s">
        <v>455</v>
      </c>
      <c r="H87">
        <v>3</v>
      </c>
    </row>
    <row r="88" spans="3:8" ht="72">
      <c r="C88">
        <v>1</v>
      </c>
      <c r="E88" s="23" t="s">
        <v>456</v>
      </c>
      <c r="H88">
        <v>3</v>
      </c>
    </row>
    <row r="89" spans="3:8" ht="72">
      <c r="C89">
        <v>1</v>
      </c>
      <c r="E89" s="23" t="s">
        <v>457</v>
      </c>
      <c r="H89">
        <v>3</v>
      </c>
    </row>
    <row r="90" spans="3:8" ht="43.2">
      <c r="C90">
        <v>1</v>
      </c>
      <c r="E90" s="23" t="s">
        <v>458</v>
      </c>
      <c r="H90">
        <v>3</v>
      </c>
    </row>
    <row r="91" spans="3:8" ht="57.6">
      <c r="C91">
        <v>1</v>
      </c>
      <c r="E91" s="23" t="s">
        <v>459</v>
      </c>
      <c r="H91">
        <v>3</v>
      </c>
    </row>
    <row r="92" spans="3:8" ht="72">
      <c r="C92">
        <v>1</v>
      </c>
      <c r="E92" s="23" t="s">
        <v>460</v>
      </c>
      <c r="H92">
        <v>3</v>
      </c>
    </row>
    <row r="93" spans="3:8" ht="86.4">
      <c r="C93">
        <v>1</v>
      </c>
      <c r="E93" s="23" t="s">
        <v>461</v>
      </c>
      <c r="H93">
        <v>3</v>
      </c>
    </row>
    <row r="94" spans="3:8" ht="57.6">
      <c r="C94">
        <v>1</v>
      </c>
      <c r="E94" s="23" t="s">
        <v>462</v>
      </c>
      <c r="F94" t="s">
        <v>662</v>
      </c>
      <c r="H94">
        <v>3</v>
      </c>
    </row>
    <row r="95" spans="3:8" ht="72">
      <c r="C95">
        <v>1</v>
      </c>
      <c r="E95" s="23" t="s">
        <v>463</v>
      </c>
      <c r="H95">
        <v>3</v>
      </c>
    </row>
    <row r="96" spans="3:8" ht="72">
      <c r="C96">
        <v>1</v>
      </c>
      <c r="E96" s="23" t="s">
        <v>464</v>
      </c>
      <c r="H96">
        <v>3</v>
      </c>
    </row>
    <row r="97" spans="3:8" ht="57.6">
      <c r="C97">
        <v>1</v>
      </c>
      <c r="E97" s="23" t="s">
        <v>465</v>
      </c>
      <c r="H97">
        <v>3</v>
      </c>
    </row>
    <row r="98" spans="3:8" ht="86.4">
      <c r="C98">
        <v>1</v>
      </c>
      <c r="E98" s="23" t="s">
        <v>466</v>
      </c>
      <c r="H98">
        <v>3</v>
      </c>
    </row>
    <row r="99" spans="3:8" ht="72">
      <c r="C99">
        <v>1</v>
      </c>
      <c r="E99" s="23" t="s">
        <v>467</v>
      </c>
      <c r="H99">
        <v>3</v>
      </c>
    </row>
    <row r="100" spans="3:8" ht="57.6">
      <c r="C100">
        <v>1</v>
      </c>
      <c r="E100" s="23" t="s">
        <v>468</v>
      </c>
      <c r="H100">
        <v>3</v>
      </c>
    </row>
    <row r="101" spans="3:8" ht="57.6">
      <c r="C101">
        <v>1</v>
      </c>
      <c r="E101" s="23" t="s">
        <v>469</v>
      </c>
      <c r="H101">
        <v>3</v>
      </c>
    </row>
    <row r="102" spans="3:8" ht="72">
      <c r="C102">
        <v>1</v>
      </c>
      <c r="E102" s="23" t="s">
        <v>470</v>
      </c>
      <c r="H102">
        <v>3</v>
      </c>
    </row>
    <row r="103" spans="3:8" ht="43.2">
      <c r="C103">
        <v>1</v>
      </c>
      <c r="E103" s="23" t="s">
        <v>471</v>
      </c>
      <c r="H103">
        <v>3</v>
      </c>
    </row>
    <row r="104" spans="3:8" ht="28.8">
      <c r="C104">
        <v>1</v>
      </c>
      <c r="E104" s="23" t="s">
        <v>472</v>
      </c>
      <c r="H104">
        <v>3</v>
      </c>
    </row>
    <row r="105" spans="3:8" ht="57.6">
      <c r="C105">
        <v>1</v>
      </c>
      <c r="E105" s="23" t="s">
        <v>473</v>
      </c>
      <c r="H105">
        <v>3</v>
      </c>
    </row>
    <row r="106" spans="3:8" ht="43.2">
      <c r="C106">
        <v>1</v>
      </c>
      <c r="E106" s="23" t="s">
        <v>474</v>
      </c>
      <c r="H106">
        <v>3</v>
      </c>
    </row>
    <row r="107" spans="3:8" ht="43.2">
      <c r="C107">
        <v>3</v>
      </c>
      <c r="E107" s="23" t="s">
        <v>589</v>
      </c>
      <c r="H107">
        <v>1</v>
      </c>
    </row>
    <row r="108" spans="3:8" ht="57.6">
      <c r="C108">
        <v>3</v>
      </c>
      <c r="E108" s="23" t="s">
        <v>590</v>
      </c>
      <c r="H108">
        <v>1</v>
      </c>
    </row>
    <row r="109" spans="3:8" ht="57.6">
      <c r="C109">
        <v>3</v>
      </c>
      <c r="E109" s="23" t="s">
        <v>591</v>
      </c>
      <c r="H109">
        <v>1</v>
      </c>
    </row>
    <row r="110" spans="3:8" ht="57.6">
      <c r="C110">
        <v>3</v>
      </c>
      <c r="E110" s="23" t="s">
        <v>592</v>
      </c>
      <c r="H110">
        <v>1</v>
      </c>
    </row>
    <row r="111" spans="3:8" ht="43.2">
      <c r="C111">
        <v>3</v>
      </c>
      <c r="E111" s="23" t="s">
        <v>593</v>
      </c>
      <c r="H111">
        <v>1</v>
      </c>
    </row>
    <row r="112" spans="3:8" ht="43.2">
      <c r="C112">
        <v>3</v>
      </c>
      <c r="E112" s="23" t="s">
        <v>594</v>
      </c>
      <c r="H112">
        <v>1</v>
      </c>
    </row>
    <row r="113" spans="3:8" ht="43.2">
      <c r="C113">
        <v>3</v>
      </c>
      <c r="E113" s="23" t="s">
        <v>595</v>
      </c>
      <c r="H113">
        <v>2</v>
      </c>
    </row>
    <row r="114" spans="3:8" ht="57.6">
      <c r="C114">
        <v>3</v>
      </c>
      <c r="E114" s="23" t="s">
        <v>596</v>
      </c>
      <c r="H114">
        <v>2</v>
      </c>
    </row>
    <row r="115" spans="3:8" ht="43.2">
      <c r="C115">
        <v>3</v>
      </c>
      <c r="E115" s="23" t="s">
        <v>597</v>
      </c>
      <c r="H115">
        <v>2</v>
      </c>
    </row>
    <row r="116" spans="3:8" ht="43.2">
      <c r="C116">
        <v>3</v>
      </c>
      <c r="E116" s="23" t="s">
        <v>598</v>
      </c>
      <c r="H116">
        <v>2</v>
      </c>
    </row>
    <row r="117" spans="3:8" ht="43.2">
      <c r="C117">
        <v>3</v>
      </c>
      <c r="E117" s="23" t="s">
        <v>599</v>
      </c>
      <c r="H117">
        <v>2</v>
      </c>
    </row>
    <row r="118" spans="3:8" ht="43.2">
      <c r="C118">
        <v>3</v>
      </c>
      <c r="E118" s="23" t="s">
        <v>600</v>
      </c>
      <c r="H118">
        <v>2</v>
      </c>
    </row>
    <row r="119" spans="3:8" ht="43.2">
      <c r="C119">
        <v>3</v>
      </c>
      <c r="E119" s="23" t="s">
        <v>601</v>
      </c>
      <c r="H119">
        <v>2</v>
      </c>
    </row>
    <row r="120" spans="3:8" ht="57.6">
      <c r="C120">
        <v>3</v>
      </c>
      <c r="E120" s="23" t="s">
        <v>602</v>
      </c>
      <c r="H120">
        <v>2</v>
      </c>
    </row>
    <row r="121" spans="3:8" ht="28.8">
      <c r="C121">
        <v>3</v>
      </c>
      <c r="E121" s="23" t="s">
        <v>603</v>
      </c>
      <c r="H121">
        <v>2</v>
      </c>
    </row>
    <row r="122" spans="3:8" ht="43.2">
      <c r="C122">
        <v>3</v>
      </c>
      <c r="E122" s="23" t="s">
        <v>604</v>
      </c>
      <c r="H122">
        <v>2</v>
      </c>
    </row>
    <row r="123" spans="3:8" ht="43.2">
      <c r="C123">
        <v>3</v>
      </c>
      <c r="E123" s="23" t="s">
        <v>605</v>
      </c>
      <c r="H123">
        <v>2</v>
      </c>
    </row>
    <row r="124" spans="3:8" ht="43.2">
      <c r="C124">
        <v>3</v>
      </c>
      <c r="E124" s="23" t="s">
        <v>606</v>
      </c>
      <c r="H124">
        <v>2</v>
      </c>
    </row>
  </sheetData>
  <mergeCells count="41">
    <mergeCell ref="D3:D4"/>
    <mergeCell ref="B3:B4"/>
    <mergeCell ref="A3:A4"/>
    <mergeCell ref="D5:D6"/>
    <mergeCell ref="B5:B6"/>
    <mergeCell ref="A5:A6"/>
    <mergeCell ref="C3:C4"/>
    <mergeCell ref="C5:C6"/>
    <mergeCell ref="D9:D10"/>
    <mergeCell ref="B9:B10"/>
    <mergeCell ref="A9:A10"/>
    <mergeCell ref="D13:D14"/>
    <mergeCell ref="B13:B14"/>
    <mergeCell ref="A13:A14"/>
    <mergeCell ref="D15:D16"/>
    <mergeCell ref="B15:B16"/>
    <mergeCell ref="A15:A16"/>
    <mergeCell ref="D17:D19"/>
    <mergeCell ref="B17:B19"/>
    <mergeCell ref="A17:A19"/>
    <mergeCell ref="A1:A2"/>
    <mergeCell ref="D32:D34"/>
    <mergeCell ref="B32:B34"/>
    <mergeCell ref="A32:A34"/>
    <mergeCell ref="D28:D29"/>
    <mergeCell ref="B28:B29"/>
    <mergeCell ref="A28:A29"/>
    <mergeCell ref="D30:D31"/>
    <mergeCell ref="B30:B31"/>
    <mergeCell ref="A30:A31"/>
    <mergeCell ref="D21:D22"/>
    <mergeCell ref="B21:B22"/>
    <mergeCell ref="A21:A22"/>
    <mergeCell ref="D23:D24"/>
    <mergeCell ref="B23:B24"/>
    <mergeCell ref="A23:A24"/>
    <mergeCell ref="K1:K2"/>
    <mergeCell ref="F1:J1"/>
    <mergeCell ref="E1:E2"/>
    <mergeCell ref="D1:D2"/>
    <mergeCell ref="B1:B2"/>
  </mergeCells>
  <dataValidations count="2">
    <dataValidation type="list" showInputMessage="1" showErrorMessage="1" promptTitle="How often has this occured?" sqref="B5 B7:B9 B11:B13 B15 B17 B20:B21 B23 B25:B28 B30 B32 B35 B3" xr:uid="{1DC66B91-2A58-4B4E-99FC-350EBD2F2D73}">
      <formula1>"One-off, Irregular but more than once, Regular like weekly, All the time"</formula1>
    </dataValidation>
    <dataValidation type="list" showInputMessage="1" showErrorMessage="1" promptTitle="How often has this occured?" sqref="C1:C1048576" xr:uid="{56C2EEBA-890D-4B26-B6BC-C73446872EA5}">
      <formula1>"1,2,3,4"</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111F2-381A-4E8D-81C5-6CE1D05D4538}">
  <dimension ref="A1:J68"/>
  <sheetViews>
    <sheetView topLeftCell="A37" workbookViewId="0">
      <selection activeCell="C64" sqref="C64"/>
    </sheetView>
  </sheetViews>
  <sheetFormatPr defaultRowHeight="14.4"/>
  <cols>
    <col min="1" max="1" width="6.109375" customWidth="1"/>
    <col min="2" max="2" width="18.44140625" customWidth="1"/>
    <col min="3" max="3" width="71.5546875" style="29" customWidth="1"/>
    <col min="4" max="4" width="60.44140625" style="30" customWidth="1"/>
    <col min="5" max="5" width="15.88671875" customWidth="1"/>
    <col min="6" max="6" width="13.88671875" customWidth="1"/>
    <col min="7" max="7" width="12.88671875" customWidth="1"/>
    <col min="8" max="8" width="14.88671875" customWidth="1"/>
    <col min="9" max="9" width="12.44140625" customWidth="1"/>
    <col min="10" max="10" width="12.6640625" customWidth="1"/>
  </cols>
  <sheetData>
    <row r="1" spans="1:10" s="29" customFormat="1" ht="18">
      <c r="A1" s="77" t="s">
        <v>0</v>
      </c>
      <c r="B1" s="77" t="s">
        <v>1</v>
      </c>
      <c r="C1" s="78" t="s">
        <v>2</v>
      </c>
      <c r="D1" s="78" t="s">
        <v>3</v>
      </c>
      <c r="E1" s="69" t="s">
        <v>641</v>
      </c>
      <c r="F1" s="69"/>
      <c r="G1" s="69"/>
      <c r="H1" s="69"/>
      <c r="I1" s="69"/>
      <c r="J1" s="91" t="s">
        <v>653</v>
      </c>
    </row>
    <row r="2" spans="1:10" s="29" customFormat="1" ht="18">
      <c r="A2" s="77"/>
      <c r="B2" s="77"/>
      <c r="C2" s="78"/>
      <c r="D2" s="78"/>
      <c r="E2" s="13" t="s">
        <v>643</v>
      </c>
      <c r="F2" s="13" t="s">
        <v>644</v>
      </c>
      <c r="G2" s="13" t="s">
        <v>645</v>
      </c>
      <c r="H2" s="13" t="s">
        <v>646</v>
      </c>
      <c r="I2" s="13" t="s">
        <v>647</v>
      </c>
      <c r="J2" s="91"/>
    </row>
    <row r="3" spans="1:10" ht="72">
      <c r="A3" s="2"/>
      <c r="B3" s="2">
        <v>2</v>
      </c>
      <c r="C3" s="37" t="s">
        <v>126</v>
      </c>
      <c r="D3" s="37" t="s">
        <v>317</v>
      </c>
      <c r="E3" s="2">
        <v>1</v>
      </c>
      <c r="F3" s="2">
        <v>1</v>
      </c>
      <c r="G3" s="2">
        <v>1</v>
      </c>
      <c r="H3" s="2">
        <v>1</v>
      </c>
      <c r="I3" s="2">
        <v>1</v>
      </c>
      <c r="J3">
        <f>_xlfn.MODE.SNGL(E3:I3)</f>
        <v>1</v>
      </c>
    </row>
    <row r="4" spans="1:10" ht="144">
      <c r="A4" s="2"/>
      <c r="B4" s="2">
        <v>2</v>
      </c>
      <c r="C4" s="37" t="s">
        <v>128</v>
      </c>
      <c r="D4" s="37" t="s">
        <v>318</v>
      </c>
      <c r="E4" s="2">
        <v>3</v>
      </c>
      <c r="F4" s="2">
        <v>3</v>
      </c>
      <c r="G4" s="2">
        <v>3</v>
      </c>
      <c r="H4" s="2">
        <v>3</v>
      </c>
      <c r="I4" s="2">
        <v>3</v>
      </c>
      <c r="J4">
        <f t="shared" ref="J4:J31" si="0">_xlfn.MODE.SNGL(E4:I4)</f>
        <v>3</v>
      </c>
    </row>
    <row r="5" spans="1:10" ht="86.4">
      <c r="A5" s="2"/>
      <c r="B5" s="2"/>
      <c r="C5" s="37" t="s">
        <v>130</v>
      </c>
      <c r="D5" s="37"/>
      <c r="E5" s="2">
        <v>1</v>
      </c>
      <c r="F5" s="2">
        <v>1</v>
      </c>
      <c r="G5" s="2">
        <v>1</v>
      </c>
      <c r="H5" s="2">
        <v>1</v>
      </c>
      <c r="I5" s="2">
        <v>1</v>
      </c>
      <c r="J5">
        <f t="shared" si="0"/>
        <v>1</v>
      </c>
    </row>
    <row r="6" spans="1:10" ht="57.6">
      <c r="A6" s="2"/>
      <c r="B6" s="2">
        <v>1</v>
      </c>
      <c r="C6" s="37" t="s">
        <v>132</v>
      </c>
      <c r="D6" s="37" t="s">
        <v>319</v>
      </c>
      <c r="E6" s="2">
        <v>1</v>
      </c>
      <c r="F6" s="2">
        <v>1</v>
      </c>
      <c r="G6" s="2">
        <v>1</v>
      </c>
      <c r="H6" s="2">
        <v>1</v>
      </c>
      <c r="I6" s="2">
        <v>1</v>
      </c>
      <c r="J6">
        <f t="shared" si="0"/>
        <v>1</v>
      </c>
    </row>
    <row r="7" spans="1:10" ht="43.2">
      <c r="A7" s="2"/>
      <c r="B7" s="2">
        <v>1</v>
      </c>
      <c r="C7" s="37" t="s">
        <v>133</v>
      </c>
      <c r="D7" s="37"/>
      <c r="E7" s="2">
        <v>1</v>
      </c>
      <c r="F7" s="2">
        <v>1</v>
      </c>
      <c r="G7" s="2">
        <v>1</v>
      </c>
      <c r="H7" s="2">
        <v>1</v>
      </c>
      <c r="I7" s="2">
        <v>1</v>
      </c>
      <c r="J7">
        <f t="shared" si="0"/>
        <v>1</v>
      </c>
    </row>
    <row r="8" spans="1:10" ht="100.8">
      <c r="A8" s="2"/>
      <c r="B8" s="2">
        <v>1</v>
      </c>
      <c r="C8" s="92" t="s">
        <v>663</v>
      </c>
      <c r="D8" s="37" t="s">
        <v>320</v>
      </c>
      <c r="E8" s="2">
        <v>2</v>
      </c>
      <c r="F8" s="2">
        <v>2</v>
      </c>
      <c r="G8" s="2">
        <v>2</v>
      </c>
      <c r="H8" s="2">
        <v>2</v>
      </c>
      <c r="I8" s="2">
        <v>2</v>
      </c>
      <c r="J8">
        <f t="shared" si="0"/>
        <v>2</v>
      </c>
    </row>
    <row r="9" spans="1:10" ht="72">
      <c r="A9" s="2"/>
      <c r="B9" s="2">
        <v>1</v>
      </c>
      <c r="C9" s="93"/>
      <c r="D9" s="37" t="s">
        <v>321</v>
      </c>
      <c r="E9" s="2"/>
      <c r="F9" s="2"/>
      <c r="G9" s="2"/>
      <c r="H9" s="2"/>
      <c r="I9" s="2">
        <v>2</v>
      </c>
    </row>
    <row r="10" spans="1:10" ht="115.2">
      <c r="A10" s="2"/>
      <c r="B10" s="2">
        <v>2</v>
      </c>
      <c r="C10" s="92" t="s">
        <v>135</v>
      </c>
      <c r="D10" s="37" t="s">
        <v>322</v>
      </c>
      <c r="E10" s="2">
        <v>2</v>
      </c>
      <c r="F10" s="2">
        <v>2</v>
      </c>
      <c r="G10" s="2">
        <v>2</v>
      </c>
      <c r="H10" s="2">
        <v>2</v>
      </c>
      <c r="I10" s="2">
        <v>2</v>
      </c>
      <c r="J10">
        <f t="shared" si="0"/>
        <v>2</v>
      </c>
    </row>
    <row r="11" spans="1:10" ht="72">
      <c r="A11" s="2"/>
      <c r="B11" s="2">
        <v>2</v>
      </c>
      <c r="C11" s="93"/>
      <c r="D11" s="37" t="s">
        <v>323</v>
      </c>
      <c r="E11" s="2"/>
      <c r="F11" s="2"/>
      <c r="G11" s="2"/>
      <c r="H11" s="2"/>
      <c r="I11" s="2">
        <v>2</v>
      </c>
    </row>
    <row r="12" spans="1:10" ht="115.2">
      <c r="A12" s="2"/>
      <c r="B12" s="2">
        <v>3</v>
      </c>
      <c r="C12" s="92" t="s">
        <v>136</v>
      </c>
      <c r="D12" s="37" t="s">
        <v>324</v>
      </c>
      <c r="E12" s="2">
        <v>1</v>
      </c>
      <c r="F12" s="2">
        <v>1</v>
      </c>
      <c r="G12" s="2">
        <v>1</v>
      </c>
      <c r="H12" s="2">
        <v>1</v>
      </c>
      <c r="I12" s="2">
        <v>1</v>
      </c>
      <c r="J12">
        <f t="shared" si="0"/>
        <v>1</v>
      </c>
    </row>
    <row r="13" spans="1:10" ht="43.2">
      <c r="A13" s="2"/>
      <c r="B13" s="2">
        <v>1</v>
      </c>
      <c r="C13" s="93"/>
      <c r="D13" s="37" t="s">
        <v>325</v>
      </c>
      <c r="E13" s="2"/>
      <c r="F13" s="2"/>
      <c r="G13" s="2"/>
      <c r="H13" s="2"/>
      <c r="I13" s="2">
        <v>1</v>
      </c>
    </row>
    <row r="14" spans="1:10" ht="57.6">
      <c r="A14" s="2"/>
      <c r="B14" s="2">
        <v>1</v>
      </c>
      <c r="C14" s="92" t="s">
        <v>137</v>
      </c>
      <c r="D14" s="37" t="s">
        <v>326</v>
      </c>
      <c r="E14" s="2">
        <v>3</v>
      </c>
      <c r="F14" s="2">
        <v>2</v>
      </c>
      <c r="G14" s="2">
        <v>3</v>
      </c>
      <c r="H14" s="2">
        <v>3</v>
      </c>
      <c r="I14" s="2">
        <v>3</v>
      </c>
      <c r="J14">
        <f t="shared" si="0"/>
        <v>3</v>
      </c>
    </row>
    <row r="15" spans="1:10" ht="57.6">
      <c r="A15" s="2"/>
      <c r="B15" s="2">
        <v>1</v>
      </c>
      <c r="C15" s="93"/>
      <c r="D15" s="37" t="s">
        <v>327</v>
      </c>
      <c r="E15" s="2"/>
      <c r="F15" s="2"/>
      <c r="G15" s="2"/>
      <c r="H15" s="2"/>
      <c r="I15" s="2">
        <v>3</v>
      </c>
    </row>
    <row r="16" spans="1:10" ht="115.2">
      <c r="A16" s="2"/>
      <c r="B16" s="2">
        <v>1</v>
      </c>
      <c r="C16" s="92" t="s">
        <v>138</v>
      </c>
      <c r="D16" s="37" t="s">
        <v>328</v>
      </c>
      <c r="E16" s="2">
        <v>1</v>
      </c>
      <c r="F16" s="2">
        <v>1</v>
      </c>
      <c r="G16" s="2">
        <v>1</v>
      </c>
      <c r="H16" s="2">
        <v>1</v>
      </c>
      <c r="I16" s="2">
        <v>1</v>
      </c>
      <c r="J16">
        <f t="shared" si="0"/>
        <v>1</v>
      </c>
    </row>
    <row r="17" spans="1:10" ht="72">
      <c r="A17" s="2"/>
      <c r="B17" s="2">
        <v>1</v>
      </c>
      <c r="C17" s="93"/>
      <c r="D17" s="48" t="s">
        <v>329</v>
      </c>
      <c r="E17" s="2"/>
      <c r="F17" s="2"/>
      <c r="G17" s="2"/>
      <c r="H17" s="2"/>
      <c r="I17" s="2">
        <v>1</v>
      </c>
    </row>
    <row r="18" spans="1:10" ht="100.8">
      <c r="A18" s="2"/>
      <c r="B18" s="2">
        <v>1</v>
      </c>
      <c r="C18" s="37" t="s">
        <v>139</v>
      </c>
      <c r="D18" s="37" t="s">
        <v>330</v>
      </c>
      <c r="E18" s="2">
        <v>3</v>
      </c>
      <c r="F18" s="2">
        <v>3</v>
      </c>
      <c r="G18" s="2">
        <v>4</v>
      </c>
      <c r="H18" s="2">
        <v>4</v>
      </c>
      <c r="I18" s="2">
        <v>4</v>
      </c>
      <c r="J18">
        <f t="shared" si="0"/>
        <v>4</v>
      </c>
    </row>
    <row r="19" spans="1:10" ht="100.8">
      <c r="A19" s="2"/>
      <c r="B19" s="2">
        <v>1</v>
      </c>
      <c r="C19" s="92" t="s">
        <v>140</v>
      </c>
      <c r="D19" s="37" t="s">
        <v>331</v>
      </c>
      <c r="E19" s="2">
        <v>2</v>
      </c>
      <c r="F19" s="2">
        <v>2</v>
      </c>
      <c r="G19" s="2">
        <v>2</v>
      </c>
      <c r="H19" s="2">
        <v>2</v>
      </c>
      <c r="I19" s="2">
        <v>2</v>
      </c>
      <c r="J19">
        <f t="shared" si="0"/>
        <v>2</v>
      </c>
    </row>
    <row r="20" spans="1:10" ht="86.4">
      <c r="A20" s="2"/>
      <c r="B20" s="2">
        <v>1</v>
      </c>
      <c r="C20" s="93"/>
      <c r="D20" s="37" t="s">
        <v>332</v>
      </c>
      <c r="E20" s="2"/>
      <c r="F20" s="2"/>
      <c r="G20" s="2"/>
      <c r="H20" s="2"/>
      <c r="I20" s="2">
        <v>2</v>
      </c>
    </row>
    <row r="21" spans="1:10" ht="100.8">
      <c r="A21" s="2"/>
      <c r="B21" s="2"/>
      <c r="C21" s="37" t="s">
        <v>141</v>
      </c>
      <c r="D21" s="37"/>
      <c r="E21" s="2">
        <v>2</v>
      </c>
      <c r="F21" s="2">
        <v>1</v>
      </c>
      <c r="G21" s="2">
        <v>2</v>
      </c>
      <c r="H21" s="2">
        <v>2</v>
      </c>
      <c r="I21" s="2">
        <v>2</v>
      </c>
      <c r="J21">
        <f t="shared" si="0"/>
        <v>2</v>
      </c>
    </row>
    <row r="22" spans="1:10" ht="72">
      <c r="A22" s="2"/>
      <c r="B22" s="2">
        <v>3</v>
      </c>
      <c r="C22" s="92" t="s">
        <v>142</v>
      </c>
      <c r="D22" s="37" t="s">
        <v>333</v>
      </c>
      <c r="E22" s="2">
        <v>3</v>
      </c>
      <c r="F22" s="2">
        <v>3</v>
      </c>
      <c r="G22" s="2">
        <v>3</v>
      </c>
      <c r="H22" s="2">
        <v>3</v>
      </c>
      <c r="I22" s="2">
        <v>3</v>
      </c>
      <c r="J22">
        <f t="shared" si="0"/>
        <v>3</v>
      </c>
    </row>
    <row r="23" spans="1:10" ht="43.2">
      <c r="A23" s="2"/>
      <c r="B23" s="2">
        <v>3</v>
      </c>
      <c r="C23" s="93"/>
      <c r="D23" s="37" t="s">
        <v>334</v>
      </c>
      <c r="E23" s="2"/>
      <c r="F23" s="2"/>
      <c r="G23" s="2"/>
      <c r="H23" s="2"/>
      <c r="I23" s="2">
        <v>3</v>
      </c>
    </row>
    <row r="24" spans="1:10" ht="100.8">
      <c r="A24" s="2"/>
      <c r="B24" s="2">
        <v>4</v>
      </c>
      <c r="C24" s="92" t="s">
        <v>144</v>
      </c>
      <c r="D24" s="37" t="s">
        <v>335</v>
      </c>
      <c r="E24" s="2">
        <v>3</v>
      </c>
      <c r="F24" s="2">
        <v>3</v>
      </c>
      <c r="G24" s="2">
        <v>3</v>
      </c>
      <c r="H24" s="2">
        <v>3</v>
      </c>
      <c r="I24" s="2">
        <v>3</v>
      </c>
      <c r="J24">
        <f t="shared" si="0"/>
        <v>3</v>
      </c>
    </row>
    <row r="25" spans="1:10" ht="57.6">
      <c r="A25" s="2"/>
      <c r="B25" s="2">
        <v>1</v>
      </c>
      <c r="C25" s="93"/>
      <c r="D25" s="37" t="s">
        <v>336</v>
      </c>
      <c r="E25" s="2"/>
      <c r="F25" s="2"/>
      <c r="G25" s="2"/>
      <c r="H25" s="2"/>
      <c r="I25" s="2">
        <v>3</v>
      </c>
    </row>
    <row r="26" spans="1:10" ht="57.6">
      <c r="A26" s="2"/>
      <c r="B26" s="2">
        <v>1</v>
      </c>
      <c r="C26" s="37" t="s">
        <v>145</v>
      </c>
      <c r="D26" s="37" t="s">
        <v>337</v>
      </c>
      <c r="E26" s="2">
        <v>2</v>
      </c>
      <c r="F26" s="2">
        <v>1</v>
      </c>
      <c r="G26" s="2">
        <v>2</v>
      </c>
      <c r="H26" s="2">
        <v>2</v>
      </c>
      <c r="I26" s="2">
        <v>2</v>
      </c>
      <c r="J26">
        <f t="shared" si="0"/>
        <v>2</v>
      </c>
    </row>
    <row r="27" spans="1:10" ht="121.5" customHeight="1">
      <c r="A27" s="2"/>
      <c r="B27" s="2">
        <v>3</v>
      </c>
      <c r="C27" s="92" t="s">
        <v>146</v>
      </c>
      <c r="D27" s="37" t="s">
        <v>338</v>
      </c>
      <c r="E27" s="38" t="s">
        <v>664</v>
      </c>
      <c r="F27" s="2">
        <v>1</v>
      </c>
      <c r="G27" s="3">
        <v>1</v>
      </c>
      <c r="H27" s="2">
        <v>1</v>
      </c>
      <c r="I27" s="2">
        <v>1</v>
      </c>
      <c r="J27">
        <f t="shared" si="0"/>
        <v>1</v>
      </c>
    </row>
    <row r="28" spans="1:10" ht="115.2">
      <c r="A28" s="2"/>
      <c r="B28" s="2">
        <v>3</v>
      </c>
      <c r="C28" s="93"/>
      <c r="D28" s="37" t="s">
        <v>339</v>
      </c>
      <c r="E28" s="38" t="s">
        <v>665</v>
      </c>
      <c r="F28" s="2">
        <v>2</v>
      </c>
      <c r="G28" s="3">
        <v>2</v>
      </c>
      <c r="H28" s="2">
        <v>2</v>
      </c>
      <c r="I28" s="2">
        <v>2</v>
      </c>
      <c r="J28">
        <f t="shared" si="0"/>
        <v>2</v>
      </c>
    </row>
    <row r="29" spans="1:10" ht="144">
      <c r="A29" s="2"/>
      <c r="B29" s="2">
        <v>4</v>
      </c>
      <c r="C29" s="37" t="s">
        <v>147</v>
      </c>
      <c r="D29" s="37" t="s">
        <v>340</v>
      </c>
      <c r="E29" s="2">
        <v>2</v>
      </c>
      <c r="F29" s="2">
        <v>2</v>
      </c>
      <c r="G29" s="2">
        <v>2</v>
      </c>
      <c r="H29" s="2">
        <v>2</v>
      </c>
      <c r="I29" s="2">
        <v>2</v>
      </c>
      <c r="J29">
        <f t="shared" si="0"/>
        <v>2</v>
      </c>
    </row>
    <row r="30" spans="1:10" ht="72">
      <c r="A30" s="2"/>
      <c r="B30" s="2">
        <v>4</v>
      </c>
      <c r="C30" s="37" t="s">
        <v>148</v>
      </c>
      <c r="D30" s="37" t="s">
        <v>341</v>
      </c>
      <c r="E30" s="2">
        <v>1</v>
      </c>
      <c r="F30" s="2">
        <v>2</v>
      </c>
      <c r="G30" s="2">
        <v>1</v>
      </c>
      <c r="H30" s="2">
        <v>2</v>
      </c>
      <c r="I30" s="2">
        <v>1</v>
      </c>
      <c r="J30">
        <f t="shared" si="0"/>
        <v>1</v>
      </c>
    </row>
    <row r="31" spans="1:10" ht="144">
      <c r="A31" s="2"/>
      <c r="B31" s="2">
        <v>4</v>
      </c>
      <c r="C31" s="37" t="s">
        <v>149</v>
      </c>
      <c r="D31" s="37" t="s">
        <v>342</v>
      </c>
      <c r="E31" s="2">
        <v>1</v>
      </c>
      <c r="F31" s="2">
        <v>1</v>
      </c>
      <c r="G31" s="2">
        <v>1</v>
      </c>
      <c r="H31" s="2">
        <v>1</v>
      </c>
      <c r="I31" s="2">
        <v>1</v>
      </c>
      <c r="J31">
        <f t="shared" si="0"/>
        <v>1</v>
      </c>
    </row>
    <row r="32" spans="1:10">
      <c r="C32" s="30"/>
    </row>
    <row r="33" spans="3:3">
      <c r="C33" s="30"/>
    </row>
    <row r="34" spans="3:3">
      <c r="C34" s="30"/>
    </row>
    <row r="35" spans="3:3">
      <c r="C35" s="30"/>
    </row>
    <row r="36" spans="3:3">
      <c r="C36" s="30"/>
    </row>
    <row r="37" spans="3:3">
      <c r="C37" s="30"/>
    </row>
    <row r="38" spans="3:3">
      <c r="C38" s="30"/>
    </row>
    <row r="39" spans="3:3">
      <c r="C39" s="30"/>
    </row>
    <row r="40" spans="3:3">
      <c r="C40" s="30"/>
    </row>
    <row r="41" spans="3:3">
      <c r="C41" s="30"/>
    </row>
    <row r="42" spans="3:3">
      <c r="C42" s="30"/>
    </row>
    <row r="43" spans="3:3">
      <c r="C43" s="30"/>
    </row>
    <row r="44" spans="3:3">
      <c r="C44" s="30"/>
    </row>
    <row r="45" spans="3:3">
      <c r="C45" s="30"/>
    </row>
    <row r="46" spans="3:3">
      <c r="C46" s="30"/>
    </row>
    <row r="47" spans="3:3">
      <c r="C47" s="30"/>
    </row>
    <row r="48" spans="3:3">
      <c r="C48" s="30"/>
    </row>
    <row r="49" spans="3:3">
      <c r="C49" s="30"/>
    </row>
    <row r="50" spans="3:3">
      <c r="C50" s="30"/>
    </row>
    <row r="51" spans="3:3">
      <c r="C51" s="30"/>
    </row>
    <row r="52" spans="3:3">
      <c r="C52" s="30"/>
    </row>
    <row r="53" spans="3:3">
      <c r="C53" s="30"/>
    </row>
    <row r="54" spans="3:3">
      <c r="C54" s="30"/>
    </row>
    <row r="55" spans="3:3">
      <c r="C55" s="30"/>
    </row>
    <row r="56" spans="3:3">
      <c r="C56" s="30"/>
    </row>
    <row r="57" spans="3:3">
      <c r="C57" s="30"/>
    </row>
    <row r="58" spans="3:3">
      <c r="C58" s="30"/>
    </row>
    <row r="59" spans="3:3">
      <c r="C59" s="30"/>
    </row>
    <row r="60" spans="3:3">
      <c r="C60" s="30"/>
    </row>
    <row r="61" spans="3:3">
      <c r="C61" s="30"/>
    </row>
    <row r="62" spans="3:3">
      <c r="C62" s="30"/>
    </row>
    <row r="64" spans="3:3">
      <c r="C64" s="67" t="s">
        <v>666</v>
      </c>
    </row>
    <row r="65" spans="2:4">
      <c r="B65" s="66"/>
      <c r="C65" s="29">
        <v>1</v>
      </c>
      <c r="D65" s="29">
        <f>COUNTIF(B3:B31, "=1")</f>
        <v>14</v>
      </c>
    </row>
    <row r="66" spans="2:4">
      <c r="B66" s="66"/>
      <c r="C66" s="29">
        <v>2</v>
      </c>
      <c r="D66" s="29">
        <f>COUNTIF(B3:B31, "=2")</f>
        <v>4</v>
      </c>
    </row>
    <row r="67" spans="2:4">
      <c r="B67" s="66"/>
      <c r="C67" s="29">
        <v>3</v>
      </c>
      <c r="D67" s="29">
        <f>COUNTIF(B3:B31, "3")</f>
        <v>5</v>
      </c>
    </row>
    <row r="68" spans="2:4">
      <c r="B68" s="66"/>
      <c r="C68" s="29">
        <v>4</v>
      </c>
      <c r="D68" s="29">
        <f>COUNTIF(B3:B31, "4")</f>
        <v>4</v>
      </c>
    </row>
  </sheetData>
  <mergeCells count="15">
    <mergeCell ref="C19:C20"/>
    <mergeCell ref="C22:C23"/>
    <mergeCell ref="C24:C25"/>
    <mergeCell ref="C27:C28"/>
    <mergeCell ref="C8:C9"/>
    <mergeCell ref="C10:C11"/>
    <mergeCell ref="C12:C13"/>
    <mergeCell ref="C14:C15"/>
    <mergeCell ref="C16:C17"/>
    <mergeCell ref="J1:J2"/>
    <mergeCell ref="E1:I1"/>
    <mergeCell ref="A1:A2"/>
    <mergeCell ref="B1:B2"/>
    <mergeCell ref="C1:C2"/>
    <mergeCell ref="D1:D2"/>
  </mergeCells>
  <dataValidations count="1">
    <dataValidation type="list" showInputMessage="1" showErrorMessage="1" sqref="B1 B3:B1048576" xr:uid="{111F60E5-D707-4666-B001-B7CF575248FC}">
      <formula1>"1,2,3,4"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9344B-9E33-4CF1-99F1-2A48D86ADB12}">
  <dimension ref="A1:J48"/>
  <sheetViews>
    <sheetView topLeftCell="A24" workbookViewId="0">
      <selection activeCell="C27" sqref="C27"/>
    </sheetView>
  </sheetViews>
  <sheetFormatPr defaultRowHeight="14.4"/>
  <cols>
    <col min="1" max="1" width="5.5546875" customWidth="1"/>
    <col min="2" max="2" width="12.6640625" bestFit="1" customWidth="1"/>
    <col min="3" max="3" width="110" customWidth="1"/>
    <col min="4" max="4" width="91.33203125" style="23" customWidth="1"/>
    <col min="5" max="5" width="14.109375" customWidth="1"/>
    <col min="6" max="6" width="13" customWidth="1"/>
    <col min="7" max="7" width="11.109375" customWidth="1"/>
    <col min="8" max="8" width="11.88671875" customWidth="1"/>
    <col min="9" max="9" width="11.6640625" customWidth="1"/>
    <col min="10" max="10" width="12.33203125" customWidth="1"/>
  </cols>
  <sheetData>
    <row r="1" spans="1:10" ht="18" customHeight="1">
      <c r="A1" s="99" t="s">
        <v>0</v>
      </c>
      <c r="B1" s="97" t="s">
        <v>1</v>
      </c>
      <c r="C1" s="94" t="s">
        <v>2</v>
      </c>
      <c r="D1" s="94" t="s">
        <v>3</v>
      </c>
      <c r="E1" s="69" t="s">
        <v>641</v>
      </c>
      <c r="F1" s="69"/>
      <c r="G1" s="69"/>
      <c r="H1" s="69"/>
      <c r="I1" s="69"/>
      <c r="J1" s="71" t="s">
        <v>653</v>
      </c>
    </row>
    <row r="2" spans="1:10" ht="16.5" customHeight="1">
      <c r="A2" s="73"/>
      <c r="B2" s="98"/>
      <c r="C2" s="96"/>
      <c r="D2" s="95"/>
      <c r="E2" s="13" t="s">
        <v>643</v>
      </c>
      <c r="F2" s="13" t="s">
        <v>644</v>
      </c>
      <c r="G2" s="13" t="s">
        <v>645</v>
      </c>
      <c r="H2" s="13" t="s">
        <v>646</v>
      </c>
      <c r="I2" s="13" t="s">
        <v>647</v>
      </c>
      <c r="J2" s="71"/>
    </row>
    <row r="3" spans="1:10" ht="343.2">
      <c r="A3" s="104">
        <v>55</v>
      </c>
      <c r="B3" s="40">
        <v>4</v>
      </c>
      <c r="C3" s="102" t="s">
        <v>113</v>
      </c>
      <c r="D3" s="39" t="s">
        <v>343</v>
      </c>
      <c r="E3">
        <v>4</v>
      </c>
      <c r="F3">
        <v>3</v>
      </c>
      <c r="G3">
        <v>3</v>
      </c>
      <c r="H3">
        <v>3</v>
      </c>
      <c r="I3">
        <v>3</v>
      </c>
      <c r="J3">
        <f>_xlfn.MODE.SNGL(E3:I3)</f>
        <v>3</v>
      </c>
    </row>
    <row r="4" spans="1:10" ht="105.75" customHeight="1">
      <c r="A4" s="104"/>
      <c r="B4" s="40">
        <v>4</v>
      </c>
      <c r="C4" s="103"/>
      <c r="D4" s="39" t="s">
        <v>344</v>
      </c>
      <c r="E4">
        <v>3</v>
      </c>
      <c r="F4">
        <v>3</v>
      </c>
      <c r="G4">
        <v>3</v>
      </c>
      <c r="H4">
        <v>3</v>
      </c>
      <c r="I4">
        <v>3</v>
      </c>
      <c r="J4">
        <f t="shared" ref="J4:J25" si="0">_xlfn.MODE.SNGL(E4:I4)</f>
        <v>3</v>
      </c>
    </row>
    <row r="5" spans="1:10" ht="48" customHeight="1">
      <c r="A5" s="104">
        <v>56</v>
      </c>
      <c r="B5">
        <v>1</v>
      </c>
      <c r="C5" s="102" t="s">
        <v>115</v>
      </c>
      <c r="D5" s="39" t="s">
        <v>345</v>
      </c>
      <c r="E5">
        <v>4</v>
      </c>
      <c r="F5">
        <v>4</v>
      </c>
      <c r="G5">
        <v>3</v>
      </c>
      <c r="H5">
        <v>4</v>
      </c>
      <c r="I5">
        <v>4</v>
      </c>
      <c r="J5">
        <f t="shared" si="0"/>
        <v>4</v>
      </c>
    </row>
    <row r="6" spans="1:10" ht="57.75" customHeight="1">
      <c r="A6" s="104"/>
      <c r="B6">
        <v>3</v>
      </c>
      <c r="C6" s="103"/>
      <c r="D6" s="39" t="s">
        <v>346</v>
      </c>
      <c r="E6">
        <v>1</v>
      </c>
      <c r="F6">
        <v>1</v>
      </c>
      <c r="G6">
        <v>1</v>
      </c>
      <c r="H6">
        <v>1</v>
      </c>
      <c r="I6">
        <v>1</v>
      </c>
      <c r="J6">
        <f t="shared" si="0"/>
        <v>1</v>
      </c>
    </row>
    <row r="7" spans="1:10" ht="172.8">
      <c r="A7">
        <v>57</v>
      </c>
      <c r="B7">
        <v>4</v>
      </c>
      <c r="C7" s="18" t="s">
        <v>117</v>
      </c>
      <c r="D7" s="39" t="s">
        <v>347</v>
      </c>
      <c r="E7">
        <v>3</v>
      </c>
      <c r="F7">
        <v>3</v>
      </c>
      <c r="G7">
        <v>3</v>
      </c>
      <c r="H7">
        <v>3</v>
      </c>
      <c r="I7">
        <v>3</v>
      </c>
      <c r="J7">
        <f t="shared" si="0"/>
        <v>3</v>
      </c>
    </row>
    <row r="8" spans="1:10" ht="216">
      <c r="A8">
        <v>58</v>
      </c>
      <c r="B8">
        <v>2</v>
      </c>
      <c r="C8" s="18" t="s">
        <v>119</v>
      </c>
      <c r="D8" s="39" t="s">
        <v>348</v>
      </c>
      <c r="E8">
        <v>1</v>
      </c>
      <c r="F8">
        <v>1</v>
      </c>
      <c r="G8">
        <v>1</v>
      </c>
      <c r="H8">
        <v>1</v>
      </c>
      <c r="I8">
        <v>2</v>
      </c>
      <c r="J8">
        <f t="shared" si="0"/>
        <v>1</v>
      </c>
    </row>
    <row r="9" spans="1:10" ht="201.6">
      <c r="A9">
        <v>59</v>
      </c>
      <c r="B9">
        <v>3</v>
      </c>
      <c r="C9" s="23" t="s">
        <v>121</v>
      </c>
      <c r="D9" s="39" t="s">
        <v>349</v>
      </c>
      <c r="E9">
        <v>1</v>
      </c>
      <c r="F9">
        <v>1</v>
      </c>
      <c r="G9">
        <v>1</v>
      </c>
      <c r="H9">
        <v>1</v>
      </c>
      <c r="I9">
        <v>2</v>
      </c>
      <c r="J9">
        <f t="shared" si="0"/>
        <v>1</v>
      </c>
    </row>
    <row r="10" spans="1:10" ht="91.5" customHeight="1">
      <c r="A10" s="2">
        <v>60</v>
      </c>
      <c r="B10" s="24">
        <v>4</v>
      </c>
      <c r="C10" s="18" t="s">
        <v>123</v>
      </c>
      <c r="D10" s="39" t="s">
        <v>350</v>
      </c>
      <c r="E10" s="6">
        <v>3</v>
      </c>
      <c r="F10" s="6">
        <v>2</v>
      </c>
      <c r="G10" s="6">
        <v>3</v>
      </c>
      <c r="H10" s="9">
        <v>3</v>
      </c>
      <c r="I10">
        <v>2</v>
      </c>
      <c r="J10">
        <f t="shared" si="0"/>
        <v>3</v>
      </c>
    </row>
    <row r="11" spans="1:10" ht="409.6">
      <c r="A11" s="2">
        <v>90</v>
      </c>
      <c r="B11" s="24">
        <v>4</v>
      </c>
      <c r="C11" s="18" t="s">
        <v>163</v>
      </c>
      <c r="D11" s="39" t="s">
        <v>351</v>
      </c>
      <c r="E11">
        <v>1</v>
      </c>
      <c r="F11">
        <v>1</v>
      </c>
      <c r="G11">
        <v>1</v>
      </c>
      <c r="H11">
        <v>1</v>
      </c>
      <c r="I11">
        <v>1</v>
      </c>
      <c r="J11">
        <f t="shared" si="0"/>
        <v>1</v>
      </c>
    </row>
    <row r="12" spans="1:10" ht="244.8">
      <c r="A12" s="2">
        <v>91</v>
      </c>
      <c r="B12" s="24">
        <v>3</v>
      </c>
      <c r="C12" s="18" t="s">
        <v>165</v>
      </c>
      <c r="D12" s="39" t="s">
        <v>352</v>
      </c>
      <c r="E12">
        <v>1</v>
      </c>
      <c r="F12">
        <v>1</v>
      </c>
      <c r="G12">
        <v>1</v>
      </c>
      <c r="H12">
        <v>1</v>
      </c>
      <c r="I12">
        <v>1</v>
      </c>
      <c r="J12">
        <f t="shared" si="0"/>
        <v>1</v>
      </c>
    </row>
    <row r="13" spans="1:10" ht="115.2">
      <c r="A13" s="2">
        <v>92</v>
      </c>
      <c r="B13" s="24">
        <v>1</v>
      </c>
      <c r="C13" s="18" t="s">
        <v>166</v>
      </c>
      <c r="D13" s="39" t="s">
        <v>353</v>
      </c>
      <c r="E13">
        <v>1</v>
      </c>
      <c r="F13">
        <v>1</v>
      </c>
      <c r="G13">
        <v>1</v>
      </c>
      <c r="H13">
        <v>1</v>
      </c>
      <c r="I13">
        <v>1</v>
      </c>
      <c r="J13">
        <f t="shared" si="0"/>
        <v>1</v>
      </c>
    </row>
    <row r="14" spans="1:10" ht="46.8">
      <c r="A14" s="100">
        <v>93</v>
      </c>
      <c r="B14" s="24">
        <v>4</v>
      </c>
      <c r="C14" s="102" t="s">
        <v>168</v>
      </c>
      <c r="D14" s="39" t="s">
        <v>354</v>
      </c>
      <c r="E14">
        <v>2</v>
      </c>
      <c r="F14">
        <v>2</v>
      </c>
      <c r="G14">
        <v>2</v>
      </c>
      <c r="H14">
        <v>2</v>
      </c>
      <c r="I14">
        <v>2</v>
      </c>
      <c r="J14">
        <f t="shared" si="0"/>
        <v>2</v>
      </c>
    </row>
    <row r="15" spans="1:10" ht="110.25" customHeight="1">
      <c r="A15" s="101"/>
      <c r="B15" s="24">
        <v>3</v>
      </c>
      <c r="C15" s="103"/>
      <c r="D15" s="39" t="s">
        <v>355</v>
      </c>
      <c r="E15">
        <v>2</v>
      </c>
      <c r="F15">
        <v>2</v>
      </c>
      <c r="G15">
        <v>1</v>
      </c>
      <c r="H15">
        <v>1</v>
      </c>
      <c r="I15">
        <v>1</v>
      </c>
      <c r="J15">
        <f>_xlfn.MODE.SNGL(E15:I15)</f>
        <v>1</v>
      </c>
    </row>
    <row r="16" spans="1:10" ht="172.8">
      <c r="A16" s="2">
        <v>94</v>
      </c>
      <c r="B16" s="24">
        <v>3</v>
      </c>
      <c r="C16" s="18" t="s">
        <v>170</v>
      </c>
      <c r="D16" s="39" t="s">
        <v>356</v>
      </c>
      <c r="E16">
        <v>1</v>
      </c>
      <c r="F16">
        <v>2</v>
      </c>
      <c r="G16">
        <v>1</v>
      </c>
      <c r="H16">
        <v>1</v>
      </c>
      <c r="I16">
        <v>1</v>
      </c>
      <c r="J16">
        <f t="shared" si="0"/>
        <v>1</v>
      </c>
    </row>
    <row r="17" spans="1:10" ht="158.4">
      <c r="A17" s="2">
        <v>95</v>
      </c>
      <c r="B17" s="24">
        <v>4</v>
      </c>
      <c r="C17" s="18" t="s">
        <v>171</v>
      </c>
      <c r="D17" s="39" t="s">
        <v>357</v>
      </c>
      <c r="E17">
        <v>3</v>
      </c>
      <c r="F17">
        <v>3</v>
      </c>
      <c r="G17">
        <v>3</v>
      </c>
      <c r="H17">
        <v>3</v>
      </c>
      <c r="I17">
        <v>3</v>
      </c>
      <c r="J17">
        <f t="shared" si="0"/>
        <v>3</v>
      </c>
    </row>
    <row r="18" spans="1:10" ht="244.8">
      <c r="A18" s="2">
        <v>96</v>
      </c>
      <c r="B18" s="24">
        <v>3</v>
      </c>
      <c r="C18" s="18" t="s">
        <v>173</v>
      </c>
      <c r="D18" s="39" t="s">
        <v>358</v>
      </c>
      <c r="E18">
        <v>1</v>
      </c>
      <c r="F18">
        <v>1</v>
      </c>
      <c r="G18">
        <v>1</v>
      </c>
      <c r="H18">
        <v>1</v>
      </c>
      <c r="I18">
        <v>1</v>
      </c>
      <c r="J18">
        <f t="shared" si="0"/>
        <v>1</v>
      </c>
    </row>
    <row r="19" spans="1:10" ht="115.2">
      <c r="A19" s="2">
        <v>97</v>
      </c>
      <c r="B19" s="24">
        <v>3</v>
      </c>
      <c r="C19" s="18" t="s">
        <v>174</v>
      </c>
      <c r="D19" s="39" t="s">
        <v>359</v>
      </c>
      <c r="E19">
        <v>2</v>
      </c>
      <c r="F19">
        <v>2</v>
      </c>
      <c r="G19">
        <v>2</v>
      </c>
      <c r="H19">
        <v>2</v>
      </c>
      <c r="I19">
        <v>2</v>
      </c>
      <c r="J19">
        <f t="shared" si="0"/>
        <v>2</v>
      </c>
    </row>
    <row r="20" spans="1:10" ht="129.6">
      <c r="A20" s="2">
        <v>98</v>
      </c>
      <c r="B20" s="24">
        <v>3</v>
      </c>
      <c r="C20" s="18" t="s">
        <v>176</v>
      </c>
      <c r="D20" s="39" t="s">
        <v>360</v>
      </c>
      <c r="E20">
        <v>2</v>
      </c>
      <c r="F20">
        <v>2</v>
      </c>
      <c r="G20">
        <v>1</v>
      </c>
      <c r="H20">
        <v>2</v>
      </c>
      <c r="I20">
        <v>2</v>
      </c>
      <c r="J20">
        <f t="shared" si="0"/>
        <v>2</v>
      </c>
    </row>
    <row r="21" spans="1:10" ht="244.8">
      <c r="A21" s="2">
        <v>99</v>
      </c>
      <c r="B21" s="24">
        <v>3</v>
      </c>
      <c r="C21" s="18" t="s">
        <v>178</v>
      </c>
      <c r="D21" s="39" t="s">
        <v>361</v>
      </c>
      <c r="E21">
        <v>2</v>
      </c>
      <c r="F21">
        <v>2</v>
      </c>
      <c r="G21">
        <v>2</v>
      </c>
      <c r="H21">
        <v>2</v>
      </c>
      <c r="I21">
        <v>2</v>
      </c>
      <c r="J21">
        <f t="shared" si="0"/>
        <v>2</v>
      </c>
    </row>
    <row r="22" spans="1:10" ht="374.4">
      <c r="A22" s="2">
        <v>100</v>
      </c>
      <c r="B22" s="24">
        <v>3</v>
      </c>
      <c r="C22" s="21" t="s">
        <v>180</v>
      </c>
      <c r="D22" s="39" t="s">
        <v>362</v>
      </c>
      <c r="E22">
        <v>3</v>
      </c>
      <c r="F22">
        <v>3</v>
      </c>
      <c r="G22">
        <v>3</v>
      </c>
      <c r="H22">
        <v>3</v>
      </c>
      <c r="I22">
        <v>3</v>
      </c>
      <c r="J22">
        <f t="shared" si="0"/>
        <v>3</v>
      </c>
    </row>
    <row r="23" spans="1:10" ht="79.5" customHeight="1">
      <c r="A23" s="2">
        <v>88</v>
      </c>
      <c r="B23" s="24">
        <v>3</v>
      </c>
      <c r="C23" s="18" t="s">
        <v>159</v>
      </c>
      <c r="D23" s="39" t="s">
        <v>363</v>
      </c>
      <c r="E23" s="6">
        <v>2</v>
      </c>
      <c r="F23" s="6">
        <v>1</v>
      </c>
      <c r="G23" s="6">
        <v>2</v>
      </c>
      <c r="H23" s="9">
        <v>2</v>
      </c>
      <c r="I23">
        <v>2</v>
      </c>
      <c r="J23">
        <f t="shared" si="0"/>
        <v>2</v>
      </c>
    </row>
    <row r="24" spans="1:10" ht="127.5" customHeight="1">
      <c r="A24" s="2">
        <v>89</v>
      </c>
      <c r="B24" s="24">
        <v>1</v>
      </c>
      <c r="C24" s="18" t="s">
        <v>161</v>
      </c>
      <c r="D24" s="39" t="s">
        <v>364</v>
      </c>
      <c r="E24" s="6">
        <v>2</v>
      </c>
      <c r="F24" s="6">
        <v>1</v>
      </c>
      <c r="G24" s="6">
        <v>2</v>
      </c>
      <c r="H24" s="9">
        <v>2</v>
      </c>
      <c r="I24">
        <v>2</v>
      </c>
      <c r="J24">
        <f t="shared" si="0"/>
        <v>2</v>
      </c>
    </row>
    <row r="25" spans="1:10" ht="244.8">
      <c r="A25" s="2">
        <v>87</v>
      </c>
      <c r="B25" s="24">
        <v>3</v>
      </c>
      <c r="C25" s="18" t="s">
        <v>157</v>
      </c>
      <c r="D25" s="39" t="s">
        <v>365</v>
      </c>
      <c r="E25" s="6">
        <v>1</v>
      </c>
      <c r="F25" s="6">
        <v>2</v>
      </c>
      <c r="G25" s="6">
        <v>1</v>
      </c>
      <c r="H25" s="9">
        <v>2</v>
      </c>
      <c r="I25">
        <v>1</v>
      </c>
      <c r="J25">
        <f t="shared" si="0"/>
        <v>1</v>
      </c>
    </row>
    <row r="27" spans="1:10" ht="135" customHeight="1">
      <c r="C27" s="23"/>
    </row>
    <row r="28" spans="1:10">
      <c r="C28" s="23"/>
    </row>
    <row r="29" spans="1:10">
      <c r="C29" s="23"/>
    </row>
    <row r="30" spans="1:10">
      <c r="C30" s="23"/>
    </row>
    <row r="31" spans="1:10">
      <c r="C31" s="23"/>
    </row>
    <row r="32" spans="1:10">
      <c r="C32" s="23"/>
    </row>
    <row r="33" spans="3:3">
      <c r="C33" s="23"/>
    </row>
    <row r="34" spans="3:3">
      <c r="C34" s="23"/>
    </row>
    <row r="35" spans="3:3">
      <c r="C35" s="23"/>
    </row>
    <row r="36" spans="3:3">
      <c r="C36" s="23"/>
    </row>
    <row r="37" spans="3:3">
      <c r="C37" s="23"/>
    </row>
    <row r="38" spans="3:3">
      <c r="C38" s="23"/>
    </row>
    <row r="43" spans="3:3">
      <c r="C43" s="23"/>
    </row>
    <row r="44" spans="3:3">
      <c r="C44" s="23"/>
    </row>
    <row r="45" spans="3:3">
      <c r="C45" s="23"/>
    </row>
    <row r="46" spans="3:3">
      <c r="C46" s="23"/>
    </row>
    <row r="47" spans="3:3">
      <c r="C47" s="23"/>
    </row>
    <row r="48" spans="3:3">
      <c r="C48" s="23"/>
    </row>
  </sheetData>
  <mergeCells count="12">
    <mergeCell ref="A1:A2"/>
    <mergeCell ref="A14:A15"/>
    <mergeCell ref="C14:C15"/>
    <mergeCell ref="C3:C4"/>
    <mergeCell ref="A3:A4"/>
    <mergeCell ref="A5:A6"/>
    <mergeCell ref="C5:C6"/>
    <mergeCell ref="J1:J2"/>
    <mergeCell ref="E1:I1"/>
    <mergeCell ref="D1:D2"/>
    <mergeCell ref="C1:C2"/>
    <mergeCell ref="B1:B2"/>
  </mergeCells>
  <dataValidations count="1">
    <dataValidation type="list" showInputMessage="1" showErrorMessage="1" promptTitle="How often has this occured?" sqref="B1 B3 B5:B1048576" xr:uid="{1B171B3A-3354-4422-BCF2-F14C2C805992}">
      <formula1>"1,2,3,4"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V! Raw Data</vt:lpstr>
      <vt:lpstr>model_data</vt:lpstr>
      <vt:lpstr>summary stats</vt:lpstr>
      <vt:lpstr>shirlyn</vt:lpstr>
      <vt:lpstr>David</vt:lpstr>
      <vt:lpstr>yt</vt:lpstr>
      <vt:lpstr>ginnie</vt:lpstr>
      <vt:lpstr>Chris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David Wong</cp:lastModifiedBy>
  <cp:revision/>
  <dcterms:created xsi:type="dcterms:W3CDTF">2026-03-09T08:45:45Z</dcterms:created>
  <dcterms:modified xsi:type="dcterms:W3CDTF">2026-04-04T13:34:53Z</dcterms:modified>
  <cp:category/>
  <cp:contentStatus/>
</cp:coreProperties>
</file>